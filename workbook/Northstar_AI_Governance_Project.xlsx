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bff64aaf2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s" sheetId="5" r:id="Rab1a2fc2f78b40f4"/>
    <x:sheet xmlns:r="http://schemas.openxmlformats.org/officeDocument/2006/relationships" name="ai_systems" sheetId="2" r:id="Re981435ddaeb47e6"/>
    <x:sheet xmlns:r="http://schemas.openxmlformats.org/officeDocument/2006/relationships" name="risk_assessments" sheetId="3" r:id="R55e48a50699c4c68"/>
    <x:sheet xmlns:r="http://schemas.openxmlformats.org/officeDocument/2006/relationships" name="governance_controls" sheetId="4" r:id="R1d5c68bc2e214220"/>
    <x:sheet xmlns:r="http://schemas.openxmlformats.org/officeDocument/2006/relationships" name="ai_incidents" sheetId="1" r:id="Rf97433dd57574e0e"/>
    <x:sheet xmlns:r="http://schemas.openxmlformats.org/officeDocument/2006/relationships" name="remediation_plan" sheetId="6" r:id="R8764947d47ca4181"/>
    <x:sheet xmlns:r="http://schemas.openxmlformats.org/officeDocument/2006/relationships" name="project_charter" sheetId="7" r:id="Rb4545e9ae9b9460d"/>
    <x:sheet xmlns:r="http://schemas.openxmlformats.org/officeDocument/2006/relationships" name="tbl_project_timeline" sheetId="8" r:id="Re179e790ed9d4ff9"/>
    <x:sheet xmlns:r="http://schemas.openxmlformats.org/officeDocument/2006/relationships" name="project_risks" sheetId="9" r:id="R86710fb87074482f"/>
    <x:sheet xmlns:r="http://schemas.openxmlformats.org/officeDocument/2006/relationships" name="RACI" sheetId="10" r:id="R6b4ebd0b1b714f87"/>
  </x:sheets>
</x:workbook>
</file>

<file path=xl/sharedStrings.xml><?xml version="1.0" encoding="utf-8"?>
<x:sst xmlns:x="http://schemas.openxmlformats.org/spreadsheetml/2006/main">
  <x:si>
    <x:t xml:space="preserve">Department_ID</x:t>
  </x:si>
  <x:si>
    <x:t xml:space="preserve">Department_Name</x:t>
  </x:si>
  <x:si>
    <x:t xml:space="preserve">Department_Head</x:t>
  </x:si>
  <x:si>
    <x:t xml:space="preserve">Employee_Count</x:t>
  </x:si>
  <x:si>
    <x:t xml:space="preserve">Human Resources</x:t>
  </x:si>
  <x:si>
    <x:t xml:space="preserve">VP Human Resources</x:t>
  </x:si>
  <x:si>
    <x:t xml:space="preserve">Operations</x:t>
  </x:si>
  <x:si>
    <x:t xml:space="preserve">VP Operations</x:t>
  </x:si>
  <x:si>
    <x:t xml:space="preserve">Supply Chain</x:t>
  </x:si>
  <x:si>
    <x:t xml:space="preserve">Director Supply Chain</x:t>
  </x:si>
  <x:si>
    <x:t xml:space="preserve">Finance</x:t>
  </x:si>
  <x:si>
    <x:t xml:space="preserve">CFO</x:t>
  </x:si>
  <x:si>
    <x:t xml:space="preserve">Customer Service</x:t>
  </x:si>
  <x:si>
    <x:t xml:space="preserve">Director Customer Experience</x:t>
  </x:si>
  <x:si>
    <x:t xml:space="preserve">Information Technology</x:t>
  </x:si>
  <x:si>
    <x:t xml:space="preserve">CIO</x:t>
  </x:si>
  <x:si>
    <x:t xml:space="preserve">Quality Assurance</x:t>
  </x:si>
  <x:si>
    <x:t xml:space="preserve">Director Quality</x:t>
  </x:si>
  <x:si>
    <x:t xml:space="preserve">Sales &amp; Marketing</x:t>
  </x:si>
  <x:si>
    <x:t xml:space="preserve">CMO</x:t>
  </x:si>
  <x:si>
    <x:t xml:space="preserve">Engineering</x:t>
  </x:si>
  <x:si>
    <x:t xml:space="preserve">VP Engineering</x:t>
  </x:si>
  <x:si>
    <x:t xml:space="preserve">AI_System_ID</x:t>
  </x:si>
  <x:si>
    <x:t xml:space="preserve">System_Name</x:t>
  </x:si>
  <x:si>
    <x:t xml:space="preserve">AI_Type</x:t>
  </x:si>
  <x:si>
    <x:t xml:space="preserve">Purpose</x:t>
  </x:si>
  <x:si>
    <x:t xml:space="preserve">Vendor_Type</x:t>
  </x:si>
  <x:si>
    <x:t xml:space="preserve">Deployment_Type</x:t>
  </x:si>
  <x:si>
    <x:t xml:space="preserve">Data_Sensitivity</x:t>
  </x:si>
  <x:si>
    <x:t xml:space="preserve">Decision_Impact</x:t>
  </x:si>
  <x:si>
    <x:t xml:space="preserve">Human_Decision_Involved</x:t>
  </x:si>
  <x:si>
    <x:t xml:space="preserve">System_Status</x:t>
  </x:si>
  <x:si>
    <x:t xml:space="preserve">System_Owner</x:t>
  </x:si>
  <x:si>
    <x:t xml:space="preserve">Deployment_Date</x:t>
  </x:si>
  <x:si>
    <x:t xml:space="preserve">Last_Review_Date</x:t>
  </x:si>
  <x:si>
    <x:t xml:space="preserve">Resume Screening Assistant</x:t>
  </x:si>
  <x:si>
    <x:t xml:space="preserve">D001</x:t>
  </x:si>
  <x:si>
    <x:t xml:space="preserve">Machine Learning</x:t>
  </x:si>
  <x:si>
    <x:t xml:space="preserve">Prioritize job applicants</x:t>
  </x:si>
  <x:si>
    <x:t xml:space="preserve">Third-Party</x:t>
  </x:si>
  <x:si>
    <x:t xml:space="preserve">Cloud</x:t>
  </x:si>
  <x:si>
    <x:t xml:space="preserve">High</x:t>
  </x:si>
  <x:si>
    <x:t xml:space="preserve">Yes</x:t>
  </x:si>
  <x:si>
    <x:t xml:space="preserve">Active</x:t>
  </x:si>
  <x:si>
    <x:t xml:space="preserve">Talent Acquisition Manager</x:t>
  </x:si>
  <x:si>
    <x:t xml:space="preserve">Employee Scheduling Optimizer</x:t>
  </x:si>
  <x:si>
    <x:t xml:space="preserve">Optimization AI</x:t>
  </x:si>
  <x:si>
    <x:t xml:space="preserve">Recommend employee work schedules</x:t>
  </x:si>
  <x:si>
    <x:t xml:space="preserve">Internal</x:t>
  </x:si>
  <x:si>
    <x:t xml:space="preserve">Moderate</x:t>
  </x:si>
  <x:si>
    <x:t xml:space="preserve">Medium</x:t>
  </x:si>
  <x:si>
    <x:t xml:space="preserve">HR Operations Manager</x:t>
  </x:si>
  <x:si>
    <x:t xml:space="preserve">Predictive Maintenance System</x:t>
  </x:si>
  <x:si>
    <x:t xml:space="preserve">D002</x:t>
  </x:si>
  <x:si>
    <x:t xml:space="preserve">Predictive ML</x:t>
  </x:si>
  <x:si>
    <x:t xml:space="preserve">Predict equipment failures</x:t>
  </x:si>
  <x:si>
    <x:t xml:space="preserve">Hybrid</x:t>
  </x:si>
  <x:si>
    <x:t xml:space="preserve">Maintenance Manager</x:t>
  </x:si>
  <x:si>
    <x:t xml:space="preserve">Production Scheduling Optimizer</x:t>
  </x:si>
  <x:si>
    <x:t xml:space="preserve">Optimize production schedules</x:t>
  </x:si>
  <x:si>
    <x:t xml:space="preserve">On-Premises</x:t>
  </x:si>
  <x:si>
    <x:t xml:space="preserve">Production Planning Manager</x:t>
  </x:si>
  <x:si>
    <x:t xml:space="preserve">Visual Defect Detection</x:t>
  </x:si>
  <x:si>
    <x:t xml:space="preserve">D007</x:t>
  </x:si>
  <x:si>
    <x:t xml:space="preserve">Computer Vision</x:t>
  </x:si>
  <x:si>
    <x:t xml:space="preserve">Identify defective products</x:t>
  </x:si>
  <x:si>
    <x:t xml:space="preserve">Low</x:t>
  </x:si>
  <x:si>
    <x:t xml:space="preserve">Quality Manager</x:t>
  </x:si>
  <x:si>
    <x:t xml:space="preserve">Demand Forecasting Model</x:t>
  </x:si>
  <x:si>
    <x:t xml:space="preserve">D003</x:t>
  </x:si>
  <x:si>
    <x:t xml:space="preserve">Forecast product demand</x:t>
  </x:si>
  <x:si>
    <x:t xml:space="preserve">Demand Planning Manager</x:t>
  </x:si>
  <x:si>
    <x:t xml:space="preserve">Supplier Risk Predictor</x:t>
  </x:si>
  <x:si>
    <x:t xml:space="preserve">Predict supplier disruption risk</x:t>
  </x:si>
  <x:si>
    <x:t xml:space="preserve">Supplier Risk Manager</x:t>
  </x:si>
  <x:si>
    <x:t xml:space="preserve">Invoice Fraud Detection</x:t>
  </x:si>
  <x:si>
    <x:t xml:space="preserve">D004</x:t>
  </x:si>
  <x:si>
    <x:t xml:space="preserve">Anomaly Detection</x:t>
  </x:si>
  <x:si>
    <x:t xml:space="preserve">Identify suspicious invoices</x:t>
  </x:si>
  <x:si>
    <x:t xml:space="preserve">Finance Controls Manager</x:t>
  </x:si>
  <x:si>
    <x:t xml:space="preserve">Customer Support Chatbot</x:t>
  </x:si>
  <x:si>
    <x:t xml:space="preserve">D005</x:t>
  </x:si>
  <x:si>
    <x:t xml:space="preserve">Generative AI</x:t>
  </x:si>
  <x:si>
    <x:t xml:space="preserve">Answer customer questions</x:t>
  </x:si>
  <x:si>
    <x:t xml:space="preserve">Partial</x:t>
  </x:si>
  <x:si>
    <x:t xml:space="preserve">Customer Experience Manager</x:t>
  </x:si>
  <x:si>
    <x:t xml:space="preserve">Internal Knowledge Assistant</x:t>
  </x:si>
  <x:si>
    <x:t xml:space="preserve">D006</x:t>
  </x:si>
  <x:si>
    <x:t xml:space="preserve">Answer employee questions</x:t>
  </x:si>
  <x:si>
    <x:t xml:space="preserve">Restricted</x:t>
  </x:si>
  <x:si>
    <x:t xml:space="preserve">IT Applications Manager</x:t>
  </x:si>
  <x:si>
    <x:t xml:space="preserve">Customer Sentiment Analyzer</x:t>
  </x:si>
  <x:si>
    <x:t xml:space="preserve">Natural Language Processing</x:t>
  </x:si>
  <x:si>
    <x:t xml:space="preserve">Analyze customer feedback and sentiment</x:t>
  </x:si>
  <x:si>
    <x:t xml:space="preserve">Customer Insights Manager</x:t>
  </x:si>
  <x:si>
    <x:t xml:space="preserve">Customer Churn Predictor</x:t>
  </x:si>
  <x:si>
    <x:t xml:space="preserve">Predict customers likely to stop purchasing</x:t>
  </x:si>
  <x:si>
    <x:t xml:space="preserve">IT Security Anomaly Detector</x:t>
  </x:si>
  <x:si>
    <x:t xml:space="preserve">Detect unusual network and account activity</x:t>
  </x:si>
  <x:si>
    <x:t xml:space="preserve">Cybersecurity Manager</x:t>
  </x:si>
  <x:si>
    <x:t xml:space="preserve">Automated Help Desk Assistant</x:t>
  </x:si>
  <x:si>
    <x:t xml:space="preserve">Assist employees with routine IT support</x:t>
  </x:si>
  <x:si>
    <x:t xml:space="preserve">IT Service Manager</x:t>
  </x:si>
  <x:si>
    <x:t xml:space="preserve">Access Risk Analyzer</x:t>
  </x:si>
  <x:si>
    <x:t xml:space="preserve">Identify potentially excessive user access privileges</x:t>
  </x:si>
  <x:si>
    <x:t xml:space="preserve">Identity and Access Manager</x:t>
  </x:si>
  <x:si>
    <x:t xml:space="preserve">Warranty Claim Analyzer</x:t>
  </x:si>
  <x:si>
    <x:t xml:space="preserve">Identify unusual product warranty claims</x:t>
  </x:si>
  <x:si>
    <x:t xml:space="preserve">Quality Systems Manager</x:t>
  </x:si>
  <x:si>
    <x:t xml:space="preserve">Quality Trend Predictor</x:t>
  </x:si>
  <x:si>
    <x:t xml:space="preserve">Predict future manufacturing quality issues</x:t>
  </x:si>
  <x:si>
    <x:t xml:space="preserve">Quality Engineering Manager</x:t>
  </x:si>
  <x:si>
    <x:t xml:space="preserve">Root Cause Recommendation Tool</x:t>
  </x:si>
  <x:si>
    <x:t xml:space="preserve">Suggest possible causes of recurring quality defects</x:t>
  </x:si>
  <x:si>
    <x:t xml:space="preserve">Continuous Improvement Manager</x:t>
  </x:si>
  <x:si>
    <x:t xml:space="preserve">Marketing Content Generator</x:t>
  </x:si>
  <x:si>
    <x:t xml:space="preserve">D008</x:t>
  </x:si>
  <x:si>
    <x:t xml:space="preserve">Generate first drafts of marketing content</x:t>
  </x:si>
  <x:si>
    <x:t xml:space="preserve">Digital Marketing Manager</x:t>
  </x:si>
  <x:si>
    <x:t xml:space="preserve">Customer Segmentation Model</x:t>
  </x:si>
  <x:si>
    <x:t xml:space="preserve">Group customers based on purchasing behaviour</x:t>
  </x:si>
  <x:si>
    <x:t xml:space="preserve">Marketing Analytics Manager</x:t>
  </x:si>
  <x:si>
    <x:t xml:space="preserve">Product Recommendation Engine</x:t>
  </x:si>
  <x:si>
    <x:t xml:space="preserve">Recommendation System</x:t>
  </x:si>
  <x:si>
    <x:t xml:space="preserve">Recommend products to customers</x:t>
  </x:si>
  <x:si>
    <x:t xml:space="preserve">E-Commerce Manager</x:t>
  </x:si>
  <x:si>
    <x:t xml:space="preserve">Dynamic Pricing Assistant</x:t>
  </x:si>
  <x:si>
    <x:t xml:space="preserve">Recommend product pricing adjustments</x:t>
  </x:si>
  <x:si>
    <x:t xml:space="preserve">Pricing Manager</x:t>
  </x:si>
  <x:si>
    <x:t xml:space="preserve">Engineering Design Assistant</x:t>
  </x:si>
  <x:si>
    <x:t xml:space="preserve">D009</x:t>
  </x:si>
  <x:si>
    <x:t xml:space="preserve">Assist engineers with design concepts and documentation</x:t>
  </x:si>
  <x:si>
    <x:t xml:space="preserve">Engineering Design Manager</x:t>
  </x:si>
  <x:si>
    <x:t xml:space="preserve">Equipment Performance Simulator</x:t>
  </x:si>
  <x:si>
    <x:t xml:space="preserve">Predict equipment performance under operating conditions</x:t>
  </x:si>
  <x:si>
    <x:t xml:space="preserve">Systems Engineering Manager</x:t>
  </x:si>
  <x:si>
    <x:t xml:space="preserve">Automated Drawing Review</x:t>
  </x:si>
  <x:si>
    <x:t xml:space="preserve">Identify potential issues in technical drawings</x:t>
  </x:si>
  <x:si>
    <x:t xml:space="preserve">Engineering Quality Manager</x:t>
  </x:si>
  <x:si>
    <x:t xml:space="preserve">Energy Consumption Optimizer</x:t>
  </x:si>
  <x:si>
    <x:t xml:space="preserve">Recommend production settings to reduce energy use</x:t>
  </x:si>
  <x:si>
    <x:t xml:space="preserve">Plant Operations Manager</x:t>
  </x:si>
  <x:si>
    <x:t xml:space="preserve">Safety Incident Predictor</x:t>
  </x:si>
  <x:si>
    <x:t xml:space="preserve">Predict operating conditions associated with workplace incidents</x:t>
  </x:si>
  <x:si>
    <x:t xml:space="preserve">EHS Manager</x:t>
  </x:si>
  <x:si>
    <x:t xml:space="preserve">Transportation Route Optimizer</x:t>
  </x:si>
  <x:si>
    <x:t xml:space="preserve">Optimize material transportation and delivery routes</x:t>
  </x:si>
  <x:si>
    <x:t xml:space="preserve">Logistics Manager</x:t>
  </x:si>
  <x:si>
    <x:t xml:space="preserve">Inventory Replenishment Model</x:t>
  </x:si>
  <x:si>
    <x:t xml:space="preserve">Recommend inventory replenishment quantities and timing</x:t>
  </x:si>
  <x:si>
    <x:t xml:space="preserve">Inventory Planning Manager</x:t>
  </x:si>
  <x:si>
    <x:t xml:space="preserve">Supplier Contract Analyzer</x:t>
  </x:si>
  <x:si>
    <x:t xml:space="preserve">Review supplier contracts and highlight potential risks</x:t>
  </x:si>
  <x:si>
    <x:t xml:space="preserve">Strategic Sourcing Manager</x:t>
  </x:si>
  <x:si>
    <x:t xml:space="preserve">Cash Flow Forecasting Model</x:t>
  </x:si>
  <x:si>
    <x:t xml:space="preserve">Forecast short-term organizational cash flow</x:t>
  </x:si>
  <x:si>
    <x:t xml:space="preserve">Treasury Manager</x:t>
  </x:si>
  <x:si>
    <x:t xml:space="preserve">Expense Audit Assistant</x:t>
  </x:si>
  <x:si>
    <x:t xml:space="preserve">Identify unusual employee expenses for review</x:t>
  </x:si>
  <x:si>
    <x:t xml:space="preserve">Internal Controls Manager</x:t>
  </x:si>
  <x:si>
    <x:t xml:space="preserve">Customer Credit Risk Model</x:t>
  </x:si>
  <x:si>
    <x:t xml:space="preserve">Assess customer payment and credit risk</x:t>
  </x:si>
  <x:si>
    <x:t xml:space="preserve">Credit Manager</x:t>
  </x:si>
  <x:si>
    <x:t xml:space="preserve">Call Summarization Assistant</x:t>
  </x:si>
  <x:si>
    <x:t xml:space="preserve">Summarize customer service conversations</x:t>
  </x:si>
  <x:si>
    <x:t xml:space="preserve">Contact Centre Manager</x:t>
  </x:si>
  <x:si>
    <x:t xml:space="preserve">Complaint Routing Model</x:t>
  </x:si>
  <x:si>
    <x:t xml:space="preserve">Categorize and route customer complaints</x:t>
  </x:si>
  <x:si>
    <x:t xml:space="preserve">Customer Service Operations Manager</x:t>
  </x:si>
  <x:si>
    <x:t xml:space="preserve">Software Development Assistant</x:t>
  </x:si>
  <x:si>
    <x:t xml:space="preserve">Assist developers with code generation and documentation</x:t>
  </x:si>
  <x:si>
    <x:t xml:space="preserve">Software Engineering Manager</x:t>
  </x:si>
  <x:si>
    <x:t xml:space="preserve">Phishing Detection System</x:t>
  </x:si>
  <x:si>
    <x:t xml:space="preserve">Identify potentially malicious email messages</x:t>
  </x:si>
  <x:si>
    <x:t xml:space="preserve">Cybersecurity Operations Manager</x:t>
  </x:si>
  <x:si>
    <x:t xml:space="preserve">Sensitive Data Classifier</x:t>
  </x:si>
  <x:si>
    <x:t xml:space="preserve">Detect and classify sensitive information in company files</x:t>
  </x:si>
  <x:si>
    <x:t xml:space="preserve">Data Security Manager</x:t>
  </x:si>
  <x:si>
    <x:t xml:space="preserve">Calibration Drift Predictor</x:t>
  </x:si>
  <x:si>
    <x:t xml:space="preserve">Predict when production measurement equipment requires calibration</x:t>
  </x:si>
  <x:si>
    <x:t xml:space="preserve">Supplier Quality Risk Model</x:t>
  </x:si>
  <x:si>
    <x:t xml:space="preserve">Predict suppliers at risk of recurring quality issues</x:t>
  </x:si>
  <x:si>
    <x:t xml:space="preserve">Supplier Quality Manager</x:t>
  </x:si>
  <x:si>
    <x:t xml:space="preserve">Campaign Performance Predictor</x:t>
  </x:si>
  <x:si>
    <x:t xml:space="preserve">Forecast marketing campaign performance</x:t>
  </x:si>
  <x:si>
    <x:t xml:space="preserve">Sales Lead Scoring Model</x:t>
  </x:si>
  <x:si>
    <x:t xml:space="preserve">Prioritize sales leads based on likelihood of conversion</x:t>
  </x:si>
  <x:si>
    <x:t xml:space="preserve">Sales Operations Manager</x:t>
  </x:si>
  <x:si>
    <x:t xml:space="preserve">Social Media Monitoring Assistant</x:t>
  </x:si>
  <x:si>
    <x:t xml:space="preserve">Analyze public social media discussions about company products</x:t>
  </x:si>
  <x:si>
    <x:t xml:space="preserve">Brand Manager</x:t>
  </x:si>
  <x:si>
    <x:t xml:space="preserve">Digital Twin Optimization System</x:t>
  </x:si>
  <x:si>
    <x:t xml:space="preserve">Simulate and optimize manufacturing system performance</x:t>
  </x:si>
  <x:si>
    <x:t xml:space="preserve">Engineering Requirements Assistant</x:t>
  </x:si>
  <x:si>
    <x:t xml:space="preserve">Summarize and analyze technical requirements for engineering projects</x:t>
  </x:si>
  <x:si>
    <x:t xml:space="preserve">Engineering Program Manager</x:t>
  </x:si>
  <x:si>
    <x:t xml:space="preserve">Employee Attrition Predictor</x:t>
  </x:si>
  <x:si>
    <x:t xml:space="preserve">Identify employees with elevated likelihood of leaving the organization</x:t>
  </x:si>
  <x:si>
    <x:t xml:space="preserve">People Analytics Manager</x:t>
  </x:si>
  <x:si>
    <x:t xml:space="preserve">Employee Learning Recommender</x:t>
  </x:si>
  <x:si>
    <x:t xml:space="preserve">Recommend training content based on employee roles and skills</x:t>
  </x:si>
  <x:si>
    <x:t xml:space="preserve">Learning and Development Manager</x:t>
  </x:si>
  <x:si>
    <x:t xml:space="preserve">Warehouse Robotics Routing System</x:t>
  </x:si>
  <x:si>
    <x:t xml:space="preserve">Optimize movement routes for automated warehouse equipment</x:t>
  </x:si>
  <x:si>
    <x:t xml:space="preserve">Warehouse Operations Manager</x:t>
  </x:si>
  <x:si>
    <x:t xml:space="preserve">Workplace Safety Vision System</x:t>
  </x:si>
  <x:si>
    <x:t xml:space="preserve">Detect unsafe conditions and missing protective equipment</x:t>
  </x:si>
  <x:si>
    <x:t xml:space="preserve">Pilot</x:t>
  </x:si>
  <x:si>
    <x:t xml:space="preserve">Financial Close Assistant</x:t>
  </x:si>
  <x:si>
    <x:t xml:space="preserve">Assist finance staff with account reconciliation and close documentation</x:t>
  </x:si>
  <x:si>
    <x:t xml:space="preserve">Financial Reporting Manager</x:t>
  </x:si>
  <x:si>
    <x:t xml:space="preserve">Assessment_ID</x:t>
  </x:si>
  <x:si>
    <x:t xml:space="preserve">Privacy_Risk</x:t>
  </x:si>
  <x:si>
    <x:t xml:space="preserve">Fairness_Risk</x:t>
  </x:si>
  <x:si>
    <x:t xml:space="preserve">Security_Risk</x:t>
  </x:si>
  <x:si>
    <x:t xml:space="preserve">Reliability_Risk</x:t>
  </x:si>
  <x:si>
    <x:t xml:space="preserve">Transparency_Risk</x:t>
  </x:si>
  <x:si>
    <x:t xml:space="preserve">Human_Oversight_Risk</x:t>
  </x:si>
  <x:si>
    <x:t xml:space="preserve">Overall_Risk_Score</x:t>
  </x:si>
  <x:si>
    <x:t xml:space="preserve">Risk_Level</x:t>
  </x:si>
  <x:si>
    <x:t xml:space="preserve">Assessment_Date</x:t>
  </x:si>
  <x:si>
    <x:t xml:space="preserve">Reviewer</x:t>
  </x:si>
  <x:si>
    <x:t xml:space="preserve">Control_ID</x:t>
  </x:si>
  <x:si>
    <x:t xml:space="preserve">Control_Category</x:t>
  </x:si>
  <x:si>
    <x:t xml:space="preserve">Control_Name</x:t>
  </x:si>
  <x:si>
    <x:t xml:space="preserve">Control_Status</x:t>
  </x:si>
  <x:si>
    <x:t xml:space="preserve">Control_Effectiveness</x:t>
  </x:si>
  <x:si>
    <x:t xml:space="preserve">Control_Owner</x:t>
  </x:si>
  <x:si>
    <x:t xml:space="preserve">Implementation_Date</x:t>
  </x:si>
  <x:si>
    <x:t xml:space="preserve">Last_Test_Date</x:t>
  </x:si>
  <x:si>
    <x:t xml:space="preserve">Next_Review_Date</x:t>
  </x:si>
  <x:si>
    <x:t xml:space="preserve">C001</x:t>
  </x:si>
  <x:si>
    <x:t xml:space="preserve">AI001</x:t>
  </x:si>
  <x:si>
    <x:t xml:space="preserve">Human Oversight</x:t>
  </x:si>
  <x:si>
    <x:t xml:space="preserve">Mandatory recruiter review of AI recommendations</x:t>
  </x:si>
  <x:si>
    <x:t xml:space="preserve">Implemented</x:t>
  </x:si>
  <x:si>
    <x:t xml:space="preserve">Effective</x:t>
  </x:si>
  <x:si>
    <x:t xml:space="preserve">C002</x:t>
  </x:si>
  <x:si>
    <x:t xml:space="preserve">Fairness</x:t>
  </x:si>
  <x:si>
    <x:t xml:space="preserve">Quarterly bias and selection-rate testing</x:t>
  </x:si>
  <x:si>
    <x:t xml:space="preserve">Partially Effective</x:t>
  </x:si>
  <x:si>
    <x:t xml:space="preserve">C003</x:t>
  </x:si>
  <x:si>
    <x:t xml:space="preserve">Transparency</x:t>
  </x:si>
  <x:si>
    <x:t xml:space="preserve">Documented explanation for candidate recommendations</x:t>
  </x:si>
  <x:si>
    <x:t xml:space="preserve">Missing</x:t>
  </x:si>
  <x:si>
    <x:t xml:space="preserve">Not Effective</x:t>
  </x:si>
  <x:si>
    <x:t xml:space="preserve">C004</x:t>
  </x:si>
  <x:si>
    <x:t xml:space="preserve">AI002</x:t>
  </x:si>
  <x:si>
    <x:t xml:space="preserve">Manager approval required before schedules are published</x:t>
  </x:si>
  <x:si>
    <x:t xml:space="preserve">C005</x:t>
  </x:si>
  <x:si>
    <x:t xml:space="preserve">Schedule fairness review across employee groups</x:t>
  </x:si>
  <x:si>
    <x:t xml:space="preserve">C006</x:t>
  </x:si>
  <x:si>
    <x:t xml:space="preserve">Monitoring</x:t>
  </x:si>
  <x:si>
    <x:t xml:space="preserve">Monthly review of scheduling overrides and complaints</x:t>
  </x:si>
  <x:si>
    <x:t xml:space="preserve">C007</x:t>
  </x:si>
  <x:si>
    <x:t xml:space="preserve">AI003</x:t>
  </x:si>
  <x:si>
    <x:t xml:space="preserve">Reliability</x:t>
  </x:si>
  <x:si>
    <x:t xml:space="preserve">Monthly predictive accuracy review</x:t>
  </x:si>
  <x:si>
    <x:t xml:space="preserve">C008</x:t>
  </x:si>
  <x:si>
    <x:t xml:space="preserve">Maintenance technician validates failure alerts</x:t>
  </x:si>
  <x:si>
    <x:t xml:space="preserve">C009</x:t>
  </x:si>
  <x:si>
    <x:t xml:space="preserve">Model drift monitoring for equipment sensor data</x:t>
  </x:si>
  <x:si>
    <x:t xml:space="preserve">Reliability Engineer</x:t>
  </x:si>
  <x:si>
    <x:t xml:space="preserve">C010</x:t>
  </x:si>
  <x:si>
    <x:t xml:space="preserve">AI004</x:t>
  </x:si>
  <x:si>
    <x:t xml:space="preserve">Production planner approval of optimized schedules</x:t>
  </x:si>
  <x:si>
    <x:t xml:space="preserve">C011</x:t>
  </x:si>
  <x:si>
    <x:t xml:space="preserve">Production schedule performance review</x:t>
  </x:si>
  <x:si>
    <x:t xml:space="preserve">C012</x:t>
  </x:si>
  <x:si>
    <x:t xml:space="preserve">Monitor schedule deviations and manual overrides</x:t>
  </x:si>
  <x:si>
    <x:t xml:space="preserve">Operations Analytics Manager</x:t>
  </x:si>
  <x:si>
    <x:t xml:space="preserve">C013</x:t>
  </x:si>
  <x:si>
    <x:t xml:space="preserve">AI005</x:t>
  </x:si>
  <x:si>
    <x:t xml:space="preserve">Routine defect-detection accuracy validation</x:t>
  </x:si>
  <x:si>
    <x:t xml:space="preserve">C014</x:t>
  </x:si>
  <x:si>
    <x:t xml:space="preserve">Quality inspector reviews rejected products</x:t>
  </x:si>
  <x:si>
    <x:t xml:space="preserve">C015</x:t>
  </x:si>
  <x:si>
    <x:t xml:space="preserve">False-positive and false-negative tracking</x:t>
  </x:si>
  <x:si>
    <x:t xml:space="preserve">C016</x:t>
  </x:si>
  <x:si>
    <x:t xml:space="preserve">AI006</x:t>
  </x:si>
  <x:si>
    <x:t xml:space="preserve">Monthly forecast accuracy review</x:t>
  </x:si>
  <x:si>
    <x:t xml:space="preserve">C017</x:t>
  </x:si>
  <x:si>
    <x:t xml:space="preserve">Planner approval required for major forecast changes</x:t>
  </x:si>
  <x:si>
    <x:t xml:space="preserve">C018</x:t>
  </x:si>
  <x:si>
    <x:t xml:space="preserve">Monitor forecast error by product category</x:t>
  </x:si>
  <x:si>
    <x:t xml:space="preserve">Supply Chain Analytics Manager</x:t>
  </x:si>
  <x:si>
    <x:t xml:space="preserve">C019</x:t>
  </x:si>
  <x:si>
    <x:t xml:space="preserve">AI007</x:t>
  </x:si>
  <x:si>
    <x:t xml:space="preserve">Quarterly supplier-risk model validation</x:t>
  </x:si>
  <x:si>
    <x:t xml:space="preserve">C020</x:t>
  </x:si>
  <x:si>
    <x:t xml:space="preserve">Supplier manager validates high-risk alerts</x:t>
  </x:si>
  <x:si>
    <x:t xml:space="preserve">C021</x:t>
  </x:si>
  <x:si>
    <x:t xml:space="preserve">Document key factors influencing supplier risk scores</x:t>
  </x:si>
  <x:si>
    <x:t xml:space="preserve">C022</x:t>
  </x:si>
  <x:si>
    <x:t xml:space="preserve">AI008</x:t>
  </x:si>
  <x:si>
    <x:t xml:space="preserve">Security</x:t>
  </x:si>
  <x:si>
    <x:t xml:space="preserve">Restricted access to fraud-detection data and results</x:t>
  </x:si>
  <x:si>
    <x:t xml:space="preserve">C023</x:t>
  </x:si>
  <x:si>
    <x:t xml:space="preserve">Finance investigator reviews flagged invoices</x:t>
  </x:si>
  <x:si>
    <x:t xml:space="preserve">C024</x:t>
  </x:si>
  <x:si>
    <x:t xml:space="preserve">Monthly false-positive fraud alert analysis</x:t>
  </x:si>
  <x:si>
    <x:t xml:space="preserve">C025</x:t>
  </x:si>
  <x:si>
    <x:t xml:space="preserve">AI009</x:t>
  </x:si>
  <x:si>
    <x:t xml:space="preserve">Prompt and input filtering for sensitive data</x:t>
  </x:si>
  <x:si>
    <x:t xml:space="preserve">C026</x:t>
  </x:si>
  <x:si>
    <x:t xml:space="preserve">Escalation to human agent for complex requests</x:t>
  </x:si>
  <x:si>
    <x:t xml:space="preserve">C027</x:t>
  </x:si>
  <x:si>
    <x:t xml:space="preserve">Hallucination and incorrect-answer monitoring</x:t>
  </x:si>
  <x:si>
    <x:t xml:space="preserve">C028</x:t>
  </x:si>
  <x:si>
    <x:t xml:space="preserve">AI010</x:t>
  </x:si>
  <x:si>
    <x:t xml:space="preserve">Role-based access to internal knowledge sources</x:t>
  </x:si>
  <x:si>
    <x:t xml:space="preserve">C029</x:t>
  </x:si>
  <x:si>
    <x:t xml:space="preserve">Privacy</x:t>
  </x:si>
  <x:si>
    <x:t xml:space="preserve">Prevent restricted information from appearing in unauthorized responses</x:t>
  </x:si>
  <x:si>
    <x:t xml:space="preserve">C030</x:t>
  </x:si>
  <x:si>
    <x:t xml:space="preserve">Regular review of generated answers for hallucinations</x:t>
  </x:si>
  <x:si>
    <x:t xml:space="preserve">C031</x:t>
  </x:si>
  <x:si>
    <x:t xml:space="preserve">AI011</x:t>
  </x:si>
  <x:si>
    <x:t xml:space="preserve">Monthly customer sentiment model performance review</x:t>
  </x:si>
  <x:si>
    <x:t xml:space="preserve">C032</x:t>
  </x:si>
  <x:si>
    <x:t xml:space="preserve">Removal of unnecessary personal identifiers from feedback data</x:t>
  </x:si>
  <x:si>
    <x:t xml:space="preserve">Data Privacy Manager</x:t>
  </x:si>
  <x:si>
    <x:t xml:space="preserve">C033</x:t>
  </x:si>
  <x:si>
    <x:t xml:space="preserve">Manual review of low-confidence sentiment classifications</x:t>
  </x:si>
  <x:si>
    <x:t xml:space="preserve">C034</x:t>
  </x:si>
  <x:si>
    <x:t xml:space="preserve">AI012</x:t>
  </x:si>
  <x:si>
    <x:t xml:space="preserve">Quarterly churn model accuracy review</x:t>
  </x:si>
  <x:si>
    <x:t xml:space="preserve">C035</x:t>
  </x:si>
  <x:si>
    <x:t xml:space="preserve">Retention team reviews high-risk customer predictions</x:t>
  </x:si>
  <x:si>
    <x:t xml:space="preserve">C036</x:t>
  </x:si>
  <x:si>
    <x:t xml:space="preserve">Review churn predictions for unequal treatment across customer groups</x:t>
  </x:si>
  <x:si>
    <x:t xml:space="preserve">Customer Analytics Manager</x:t>
  </x:si>
  <x:si>
    <x:t xml:space="preserve">C037</x:t>
  </x:si>
  <x:si>
    <x:t xml:space="preserve">AI013</x:t>
  </x:si>
  <x:si>
    <x:t xml:space="preserve">Continuous monitoring of suspicious network activity</x:t>
  </x:si>
  <x:si>
    <x:t xml:space="preserve">C038</x:t>
  </x:si>
  <x:si>
    <x:t xml:space="preserve">Security analyst validates high-severity alerts</x:t>
  </x:si>
  <x:si>
    <x:t xml:space="preserve">C039</x:t>
  </x:si>
  <x:si>
    <x:t xml:space="preserve">Regular false-positive and false-negative review</x:t>
  </x:si>
  <x:si>
    <x:t xml:space="preserve">C040</x:t>
  </x:si>
  <x:si>
    <x:t xml:space="preserve">AI014</x:t>
  </x:si>
  <x:si>
    <x:t xml:space="preserve">Prevent sensitive company data from being exposed in generated responses</x:t>
  </x:si>
  <x:si>
    <x:t xml:space="preserve">C041</x:t>
  </x:si>
  <x:si>
    <x:t xml:space="preserve">Escalate unresolved requests to human IT staff</x:t>
  </x:si>
  <x:si>
    <x:t xml:space="preserve">C042</x:t>
  </x:si>
  <x:si>
    <x:t xml:space="preserve">Review incorrect or misleading help desk responses</x:t>
  </x:si>
  <x:si>
    <x:t xml:space="preserve">C043</x:t>
  </x:si>
  <x:si>
    <x:t xml:space="preserve">AI015</x:t>
  </x:si>
  <x:si>
    <x:t xml:space="preserve">Restricted administrator access to identity and access data</x:t>
  </x:si>
  <x:si>
    <x:t xml:space="preserve">C044</x:t>
  </x:si>
  <x:si>
    <x:t xml:space="preserve">Security analyst reviews all high-risk access findings</x:t>
  </x:si>
  <x:si>
    <x:t xml:space="preserve">C045</x:t>
  </x:si>
  <x:si>
    <x:t xml:space="preserve">Quarterly validation of access risk scoring rules</x:t>
  </x:si>
  <x:si>
    <x:t xml:space="preserve">Cybersecurity Governance Manager</x:t>
  </x:si>
  <x:si>
    <x:t xml:space="preserve">C046</x:t>
  </x:si>
  <x:si>
    <x:t xml:space="preserve">AI016</x:t>
  </x:si>
  <x:si>
    <x:t xml:space="preserve">Quality team reviews claims flagged as unusual</x:t>
  </x:si>
  <x:si>
    <x:t xml:space="preserve">C047</x:t>
  </x:si>
  <x:si>
    <x:t xml:space="preserve">Monitor claim detection false-positive rate</x:t>
  </x:si>
  <x:si>
    <x:t xml:space="preserve">C048</x:t>
  </x:si>
  <x:si>
    <x:t xml:space="preserve">Document primary factors used to flag warranty claims</x:t>
  </x:si>
  <x:si>
    <x:t xml:space="preserve">C049</x:t>
  </x:si>
  <x:si>
    <x:t xml:space="preserve">AI017</x:t>
  </x:si>
  <x:si>
    <x:t xml:space="preserve">Quarterly quality prediction accuracy review</x:t>
  </x:si>
  <x:si>
    <x:t xml:space="preserve">C050</x:t>
  </x:si>
  <x:si>
    <x:t xml:space="preserve">Quality engineer validates critical quality-risk predictions</x:t>
  </x:si>
  <x:si>
    <x:t xml:space="preserve">C051</x:t>
  </x:si>
  <x:si>
    <x:t xml:space="preserve">Production data drift monitoring</x:t>
  </x:si>
  <x:si>
    <x:t xml:space="preserve">Quality Analytics Manager</x:t>
  </x:si>
  <x:si>
    <x:t xml:space="preserve">C052</x:t>
  </x:si>
  <x:si>
    <x:t xml:space="preserve">AI018</x:t>
  </x:si>
  <x:si>
    <x:t xml:space="preserve">Engineer validates AI-generated root-cause recommendations</x:t>
  </x:si>
  <x:si>
    <x:t xml:space="preserve">C053</x:t>
  </x:si>
  <x:si>
    <x:t xml:space="preserve">Require supporting evidence for suggested root causes</x:t>
  </x:si>
  <x:si>
    <x:t xml:space="preserve">C054</x:t>
  </x:si>
  <x:si>
    <x:t xml:space="preserve">Review incorrect root-cause recommendations</x:t>
  </x:si>
  <x:si>
    <x:t xml:space="preserve">C055</x:t>
  </x:si>
  <x:si>
    <x:t xml:space="preserve">AI019</x:t>
  </x:si>
  <x:si>
    <x:t xml:space="preserve">Marketing staff review all AI-generated content before publication</x:t>
  </x:si>
  <x:si>
    <x:t xml:space="preserve">C056</x:t>
  </x:si>
  <x:si>
    <x:t xml:space="preserve">Require disclosure of AI-assisted content creation internally</x:t>
  </x:si>
  <x:si>
    <x:t xml:space="preserve">C057</x:t>
  </x:si>
  <x:si>
    <x:t xml:space="preserve">Quarterly review of inaccurate or inappropriate generated content</x:t>
  </x:si>
  <x:si>
    <x:t xml:space="preserve">C058</x:t>
  </x:si>
  <x:si>
    <x:t xml:space="preserve">AI020</x:t>
  </x:si>
  <x:si>
    <x:t xml:space="preserve">Limit customer data used for segmentation to approved fields</x:t>
  </x:si>
  <x:si>
    <x:t xml:space="preserve">C059</x:t>
  </x:si>
  <x:si>
    <x:t xml:space="preserve">Review customer segments for inappropriate demographic proxies</x:t>
  </x:si>
  <x:si>
    <x:t xml:space="preserve">C060</x:t>
  </x:si>
  <x:si>
    <x:t xml:space="preserve">Marketing analyst validates segments before campaign use</x:t>
  </x:si>
  <x:si>
    <x:t xml:space="preserve">C061</x:t>
  </x:si>
  <x:si>
    <x:t xml:space="preserve">AI021</x:t>
  </x:si>
  <x:si>
    <x:t xml:space="preserve">Restrict customer-profile attributes used for recommendations</x:t>
  </x:si>
  <x:si>
    <x:t xml:space="preserve">C062</x:t>
  </x:si>
  <x:si>
    <x:t xml:space="preserve">Monitor recommendation exposure across customer groups</x:t>
  </x:si>
  <x:si>
    <x:t xml:space="preserve">C063</x:t>
  </x:si>
  <x:si>
    <x:t xml:space="preserve">Track recommendation click-through and complaint rates</x:t>
  </x:si>
  <x:si>
    <x:t xml:space="preserve">C064</x:t>
  </x:si>
  <x:si>
    <x:t xml:space="preserve">AI022</x:t>
  </x:si>
  <x:si>
    <x:t xml:space="preserve">Pricing manager approval required for major price changes</x:t>
  </x:si>
  <x:si>
    <x:t xml:space="preserve">C065</x:t>
  </x:si>
  <x:si>
    <x:t xml:space="preserve">Review pricing recommendations for discriminatory or unfair outcomes</x:t>
  </x:si>
  <x:si>
    <x:t xml:space="preserve">C066</x:t>
  </x:si>
  <x:si>
    <x:t xml:space="preserve">Track manual pricing overrides and customer complaints</x:t>
  </x:si>
  <x:si>
    <x:t xml:space="preserve">C067</x:t>
  </x:si>
  <x:si>
    <x:t xml:space="preserve">AI023</x:t>
  </x:si>
  <x:si>
    <x:t xml:space="preserve">Restrict AI assistant access to approved engineering repositories</x:t>
  </x:si>
  <x:si>
    <x:t xml:space="preserve">C068</x:t>
  </x:si>
  <x:si>
    <x:t xml:space="preserve">Engineer approval required before AI-generated designs are used</x:t>
  </x:si>
  <x:si>
    <x:t xml:space="preserve">C069</x:t>
  </x:si>
  <x:si>
    <x:t xml:space="preserve">Review AI-generated design errors and unsafe suggestions</x:t>
  </x:si>
  <x:si>
    <x:t xml:space="preserve">C070</x:t>
  </x:si>
  <x:si>
    <x:t xml:space="preserve">AI024</x:t>
  </x:si>
  <x:si>
    <x:t xml:space="preserve">Validate simulation predictions against physical test results</x:t>
  </x:si>
  <x:si>
    <x:t xml:space="preserve">C071</x:t>
  </x:si>
  <x:si>
    <x:t xml:space="preserve">Engineer approval required for simulation-based design decisions</x:t>
  </x:si>
  <x:si>
    <x:t xml:space="preserve">C072</x:t>
  </x:si>
  <x:si>
    <x:t xml:space="preserve">Track model prediction errors under changing operating conditions</x:t>
  </x:si>
  <x:si>
    <x:t xml:space="preserve">C073</x:t>
  </x:si>
  <x:si>
    <x:t xml:space="preserve">AI025</x:t>
  </x:si>
  <x:si>
    <x:t xml:space="preserve">Restrict access to confidential engineering drawings</x:t>
  </x:si>
  <x:si>
    <x:t xml:space="preserve">C074</x:t>
  </x:si>
  <x:si>
    <x:t xml:space="preserve">Engineer manually verifies all identified drawing issues</x:t>
  </x:si>
  <x:si>
    <x:t xml:space="preserve">C075</x:t>
  </x:si>
  <x:si>
    <x:t xml:space="preserve">Quarterly review of missed and incorrectly flagged drawing defects</x:t>
  </x:si>
  <x:si>
    <x:t xml:space="preserve">C076</x:t>
  </x:si>
  <x:si>
    <x:t xml:space="preserve">AI026</x:t>
  </x:si>
  <x:si>
    <x:t xml:space="preserve">Monthly review of energy optimization performance</x:t>
  </x:si>
  <x:si>
    <x:t xml:space="preserve">C077</x:t>
  </x:si>
  <x:si>
    <x:t xml:space="preserve">Operations staff approve major equipment setting changes</x:t>
  </x:si>
  <x:si>
    <x:t xml:space="preserve">C078</x:t>
  </x:si>
  <x:si>
    <x:t xml:space="preserve">Track energy savings and production-performance tradeoffs</x:t>
  </x:si>
  <x:si>
    <x:t xml:space="preserve">C079</x:t>
  </x:si>
  <x:si>
    <x:t xml:space="preserve">AI027</x:t>
  </x:si>
  <x:si>
    <x:t xml:space="preserve">Quarterly validation of workplace incident predictions</x:t>
  </x:si>
  <x:si>
    <x:t xml:space="preserve">C080</x:t>
  </x:si>
  <x:si>
    <x:t xml:space="preserve">Safety professional reviews all high-risk alerts</x:t>
  </x:si>
  <x:si>
    <x:t xml:space="preserve">C081</x:t>
  </x:si>
  <x:si>
    <x:t xml:space="preserve">Track missed incidents and false-positive safety alerts</x:t>
  </x:si>
  <x:si>
    <x:t xml:space="preserve">C082</x:t>
  </x:si>
  <x:si>
    <x:t xml:space="preserve">AI028</x:t>
  </x:si>
  <x:si>
    <x:t xml:space="preserve">Monthly route optimization performance review</x:t>
  </x:si>
  <x:si>
    <x:t xml:space="preserve">C083</x:t>
  </x:si>
  <x:si>
    <x:t xml:space="preserve">Dispatcher approval required for major route changes</x:t>
  </x:si>
  <x:si>
    <x:t xml:space="preserve">C084</x:t>
  </x:si>
  <x:si>
    <x:t xml:space="preserve">Track route deviations delivery delays and manual overrides</x:t>
  </x:si>
  <x:si>
    <x:t xml:space="preserve">Transportation Manager</x:t>
  </x:si>
  <x:si>
    <x:t xml:space="preserve">C085</x:t>
  </x:si>
  <x:si>
    <x:t xml:space="preserve">AI029</x:t>
  </x:si>
  <x:si>
    <x:t xml:space="preserve">Monthly replenishment forecast accuracy review</x:t>
  </x:si>
  <x:si>
    <x:t xml:space="preserve">C086</x:t>
  </x:si>
  <x:si>
    <x:t xml:space="preserve">Planner approval required for unusual replenishment recommendations</x:t>
  </x:si>
  <x:si>
    <x:t xml:space="preserve">C087</x:t>
  </x:si>
  <x:si>
    <x:t xml:space="preserve">Monitor stockouts excess inventory and recommendation overrides</x:t>
  </x:si>
  <x:si>
    <x:t xml:space="preserve">C088</x:t>
  </x:si>
  <x:si>
    <x:t xml:space="preserve">AI030</x:t>
  </x:si>
  <x:si>
    <x:t xml:space="preserve">Restrict access to confidential supplier contracts</x:t>
  </x:si>
  <x:si>
    <x:t xml:space="preserve">C089</x:t>
  </x:si>
  <x:si>
    <x:t xml:space="preserve">Procurement professional verifies AI-identified contract risks</x:t>
  </x:si>
  <x:si>
    <x:t xml:space="preserve">C090</x:t>
  </x:si>
  <x:si>
    <x:t xml:space="preserve">Require source references for AI-generated contract findings</x:t>
  </x:si>
  <x:si>
    <x:t xml:space="preserve">C091</x:t>
  </x:si>
  <x:si>
    <x:t xml:space="preserve">AI031</x:t>
  </x:si>
  <x:si>
    <x:t xml:space="preserve">Restrict access to financial forecasting data</x:t>
  </x:si>
  <x:si>
    <x:t xml:space="preserve">C092</x:t>
  </x:si>
  <x:si>
    <x:t xml:space="preserve">Treasury analyst approves forecasts used for major decisions</x:t>
  </x:si>
  <x:si>
    <x:t xml:space="preserve">C093</x:t>
  </x:si>
  <x:si>
    <x:t xml:space="preserve">Monthly comparison of forecast versus actual cash flow</x:t>
  </x:si>
  <x:si>
    <x:t xml:space="preserve">C094</x:t>
  </x:si>
  <x:si>
    <x:t xml:space="preserve">AI032</x:t>
  </x:si>
  <x:si>
    <x:t xml:space="preserve">Restrict access to employee expense and audit records</x:t>
  </x:si>
  <x:si>
    <x:t xml:space="preserve">C095</x:t>
  </x:si>
  <x:si>
    <x:t xml:space="preserve">Auditor reviews all high-risk expense alerts before action</x:t>
  </x:si>
  <x:si>
    <x:t xml:space="preserve">C096</x:t>
  </x:si>
  <x:si>
    <x:t xml:space="preserve">Quarterly review of false-positive expense alerts</x:t>
  </x:si>
  <x:si>
    <x:t xml:space="preserve">C097</x:t>
  </x:si>
  <x:si>
    <x:t xml:space="preserve">AI033</x:t>
  </x:si>
  <x:si>
    <x:t xml:space="preserve">Test credit-risk outcomes for unequal treatment across customer groups</x:t>
  </x:si>
  <x:si>
    <x:t xml:space="preserve">C098</x:t>
  </x:si>
  <x:si>
    <x:t xml:space="preserve">Credit analyst approval required before adverse credit decisions</x:t>
  </x:si>
  <x:si>
    <x:t xml:space="preserve">C099</x:t>
  </x:si>
  <x:si>
    <x:t xml:space="preserve">Provide documented reasons supporting adverse credit recommendations</x:t>
  </x:si>
  <x:si>
    <x:t xml:space="preserve">C100</x:t>
  </x:si>
  <x:si>
    <x:t xml:space="preserve">AI034</x:t>
  </x:si>
  <x:si>
    <x:t xml:space="preserve">Automatically redact sensitive customer information from stored summaries</x:t>
  </x:si>
  <x:si>
    <x:t xml:space="preserve">C101</x:t>
  </x:si>
  <x:si>
    <x:t xml:space="preserve">Agent reviews generated call summaries before case closure</x:t>
  </x:si>
  <x:si>
    <x:t xml:space="preserve">C102</x:t>
  </x:si>
  <x:si>
    <x:t xml:space="preserve">Sample generated summaries for omissions and inaccurate statements</x:t>
  </x:si>
  <x:si>
    <x:t xml:space="preserve">Customer Service Quality Manager</x:t>
  </x:si>
  <x:si>
    <x:t xml:space="preserve">C103</x:t>
  </x:si>
  <x:si>
    <x:t xml:space="preserve">AI035</x:t>
  </x:si>
  <x:si>
    <x:t xml:space="preserve">Monitor complaint routing outcomes across customer categories</x:t>
  </x:si>
  <x:si>
    <x:t xml:space="preserve">C104</x:t>
  </x:si>
  <x:si>
    <x:t xml:space="preserve">Agents can override complaint routing recommendations</x:t>
  </x:si>
  <x:si>
    <x:t xml:space="preserve">C105</x:t>
  </x:si>
  <x:si>
    <x:t xml:space="preserve">Track misrouted complaints and escalation delays</x:t>
  </x:si>
  <x:si>
    <x:t xml:space="preserve">C106</x:t>
  </x:si>
  <x:si>
    <x:t xml:space="preserve">AI036</x:t>
  </x:si>
  <x:si>
    <x:t xml:space="preserve">Prevent development assistant from accessing unapproved repositories</x:t>
  </x:si>
  <x:si>
    <x:t xml:space="preserve">C107</x:t>
  </x:si>
  <x:si>
    <x:t xml:space="preserve">Developer review required before AI-generated code is merged</x:t>
  </x:si>
  <x:si>
    <x:t xml:space="preserve">C108</x:t>
  </x:si>
  <x:si>
    <x:t xml:space="preserve">Scan AI-generated code for vulnerabilities and insecure patterns</x:t>
  </x:si>
  <x:si>
    <x:t xml:space="preserve">Application Security Manager</x:t>
  </x:si>
  <x:si>
    <x:t xml:space="preserve">C109</x:t>
  </x:si>
  <x:si>
    <x:t xml:space="preserve">AI037</x:t>
  </x:si>
  <x:si>
    <x:t xml:space="preserve">Continuous monitoring and updating of phishing detection rules</x:t>
  </x:si>
  <x:si>
    <x:t xml:space="preserve">C110</x:t>
  </x:si>
  <x:si>
    <x:t xml:space="preserve">Security analyst reviews high-confidence phishing detections</x:t>
  </x:si>
  <x:si>
    <x:t xml:space="preserve">C111</x:t>
  </x:si>
  <x:si>
    <x:t xml:space="preserve">Track missed phishing emails and false-positive detections</x:t>
  </x:si>
  <x:si>
    <x:t xml:space="preserve">C112</x:t>
  </x:si>
  <x:si>
    <x:t xml:space="preserve">AI038</x:t>
  </x:si>
  <x:si>
    <x:t xml:space="preserve">Restrict access to sensitive-data classification results</x:t>
  </x:si>
  <x:si>
    <x:t xml:space="preserve">C113</x:t>
  </x:si>
  <x:si>
    <x:t xml:space="preserve">Quarterly validation of sensitive-data classification accuracy</x:t>
  </x:si>
  <x:si>
    <x:t xml:space="preserve">C114</x:t>
  </x:si>
  <x:si>
    <x:t xml:space="preserve">Security staff manually review uncertain classifications</x:t>
  </x:si>
  <x:si>
    <x:t xml:space="preserve">C115</x:t>
  </x:si>
  <x:si>
    <x:t xml:space="preserve">AI039</x:t>
  </x:si>
  <x:si>
    <x:t xml:space="preserve">Validate calibration predictions against equipment inspection results</x:t>
  </x:si>
  <x:si>
    <x:t xml:space="preserve">C116</x:t>
  </x:si>
  <x:si>
    <x:t xml:space="preserve">Technician confirms calibration requirement before equipment adjustment</x:t>
  </x:si>
  <x:si>
    <x:t xml:space="preserve">C117</x:t>
  </x:si>
  <x:si>
    <x:t xml:space="preserve">Track missed calibration events and unnecessary calibration alerts</x:t>
  </x:si>
  <x:si>
    <x:t xml:space="preserve">C118</x:t>
  </x:si>
  <x:si>
    <x:t xml:space="preserve">AI040</x:t>
  </x:si>
  <x:si>
    <x:t xml:space="preserve">Quarterly supplier-quality model performance validation</x:t>
  </x:si>
  <x:si>
    <x:t xml:space="preserve">C119</x:t>
  </x:si>
  <x:si>
    <x:t xml:space="preserve">Supplier quality engineer reviews high-risk supplier predictions</x:t>
  </x:si>
  <x:si>
    <x:t xml:space="preserve">C120</x:t>
  </x:si>
  <x:si>
    <x:t xml:space="preserve">Document major factors influencing supplier quality risk scores</x:t>
  </x:si>
  <x:si>
    <x:t xml:space="preserve">C121</x:t>
  </x:si>
  <x:si>
    <x:t xml:space="preserve">AI041</x:t>
  </x:si>
  <x:si>
    <x:t xml:space="preserve">Compare predicted campaign performance with actual results</x:t>
  </x:si>
  <x:si>
    <x:t xml:space="preserve">C122</x:t>
  </x:si>
  <x:si>
    <x:t xml:space="preserve">Marketing analyst reviews predictions before budget allocation</x:t>
  </x:si>
  <x:si>
    <x:t xml:space="preserve">C123</x:t>
  </x:si>
  <x:si>
    <x:t xml:space="preserve">Track forecasting error across campaign types</x:t>
  </x:si>
  <x:si>
    <x:t xml:space="preserve">C124</x:t>
  </x:si>
  <x:si>
    <x:t xml:space="preserve">AI042</x:t>
  </x:si>
  <x:si>
    <x:t xml:space="preserve">Limit customer information used by lead-scoring model</x:t>
  </x:si>
  <x:si>
    <x:t xml:space="preserve">C125</x:t>
  </x:si>
  <x:si>
    <x:t xml:space="preserve">Review lead scores for inappropriate demographic proxy effects</x:t>
  </x:si>
  <x:si>
    <x:t xml:space="preserve">C126</x:t>
  </x:si>
  <x:si>
    <x:t xml:space="preserve">Sales representatives can override lead priority recommendations</x:t>
  </x:si>
  <x:si>
    <x:t xml:space="preserve">C127</x:t>
  </x:si>
  <x:si>
    <x:t xml:space="preserve">AI043</x:t>
  </x:si>
  <x:si>
    <x:t xml:space="preserve">Collect only publicly available social media information</x:t>
  </x:si>
  <x:si>
    <x:t xml:space="preserve">C128</x:t>
  </x:si>
  <x:si>
    <x:t xml:space="preserve">Brand analyst reviews sentiment alerts before escalation</x:t>
  </x:si>
  <x:si>
    <x:t xml:space="preserve">C129</x:t>
  </x:si>
  <x:si>
    <x:t xml:space="preserve">Review incorrect sentiment and topic classifications</x:t>
  </x:si>
  <x:si>
    <x:t xml:space="preserve">C130</x:t>
  </x:si>
  <x:si>
    <x:t xml:space="preserve">AI044</x:t>
  </x:si>
  <x:si>
    <x:t xml:space="preserve">Validate digital-twin outputs against real production performance</x:t>
  </x:si>
  <x:si>
    <x:t xml:space="preserve">C131</x:t>
  </x:si>
  <x:si>
    <x:t xml:space="preserve">Engineer approval required before optimization changes are implemented</x:t>
  </x:si>
  <x:si>
    <x:t xml:space="preserve">C132</x:t>
  </x:si>
  <x:si>
    <x:t xml:space="preserve">Track simulation error after production-process changes</x:t>
  </x:si>
  <x:si>
    <x:t xml:space="preserve">C133</x:t>
  </x:si>
  <x:si>
    <x:t xml:space="preserve">AI045</x:t>
  </x:si>
  <x:si>
    <x:t xml:space="preserve">Limit AI access to authorized engineering requirement documents</x:t>
  </x:si>
  <x:si>
    <x:t xml:space="preserve">C134</x:t>
  </x:si>
  <x:si>
    <x:t xml:space="preserve">Engineer verifies AI-generated requirement summaries</x:t>
  </x:si>
  <x:si>
    <x:t xml:space="preserve">C135</x:t>
  </x:si>
  <x:si>
    <x:t xml:space="preserve">Review omitted or incorrectly interpreted technical requirements</x:t>
  </x:si>
  <x:si>
    <x:t xml:space="preserve">C136</x:t>
  </x:si>
  <x:si>
    <x:t xml:space="preserve">AI046</x:t>
  </x:si>
  <x:si>
    <x:t xml:space="preserve">Restrict attrition model access to authorized HR personnel</x:t>
  </x:si>
  <x:si>
    <x:t xml:space="preserve">C137</x:t>
  </x:si>
  <x:si>
    <x:t xml:space="preserve">Quarterly testing for unequal attrition-risk scores across employee groups</x:t>
  </x:si>
  <x:si>
    <x:t xml:space="preserve">C138</x:t>
  </x:si>
  <x:si>
    <x:t xml:space="preserve">Provide documented explanation of factors influencing employee risk scores</x:t>
  </x:si>
  <x:si>
    <x:t xml:space="preserve">C139</x:t>
  </x:si>
  <x:si>
    <x:t xml:space="preserve">AI047</x:t>
  </x:si>
  <x:si>
    <x:t xml:space="preserve">Limit employee profile attributes used for learning recommendations</x:t>
  </x:si>
  <x:si>
    <x:t xml:space="preserve">C140</x:t>
  </x:si>
  <x:si>
    <x:t xml:space="preserve">Monitor training recommendations for unequal access to development opportunities</x:t>
  </x:si>
  <x:si>
    <x:t xml:space="preserve">C141</x:t>
  </x:si>
  <x:si>
    <x:t xml:space="preserve">Employees and managers can override training recommendations</x:t>
  </x:si>
  <x:si>
    <x:t xml:space="preserve">C142</x:t>
  </x:si>
  <x:si>
    <x:t xml:space="preserve">AI048</x:t>
  </x:si>
  <x:si>
    <x:t xml:space="preserve">Routine validation of robot routing performance and collision avoidance</x:t>
  </x:si>
  <x:si>
    <x:t xml:space="preserve">C143</x:t>
  </x:si>
  <x:si>
    <x:t xml:space="preserve">Warehouse operators can immediately stop automated equipment</x:t>
  </x:si>
  <x:si>
    <x:t xml:space="preserve">C144</x:t>
  </x:si>
  <x:si>
    <x:t xml:space="preserve">Track routing failures near misses and manual interventions</x:t>
  </x:si>
  <x:si>
    <x:t xml:space="preserve">Warehouse Safety Manager</x:t>
  </x:si>
  <x:si>
    <x:t xml:space="preserve">C145</x:t>
  </x:si>
  <x:si>
    <x:t xml:space="preserve">AI049</x:t>
  </x:si>
  <x:si>
    <x:t xml:space="preserve">Limit retention and access to workplace camera footage</x:t>
  </x:si>
  <x:si>
    <x:t xml:space="preserve">C146</x:t>
  </x:si>
  <x:si>
    <x:t xml:space="preserve">Validate safety detection accuracy across operating conditions</x:t>
  </x:si>
  <x:si>
    <x:t xml:space="preserve">C147</x:t>
  </x:si>
  <x:si>
    <x:t xml:space="preserve">Safety professional verifies alerts before corrective action</x:t>
  </x:si>
  <x:si>
    <x:t xml:space="preserve">C148</x:t>
  </x:si>
  <x:si>
    <x:t xml:space="preserve">AI050</x:t>
  </x:si>
  <x:si>
    <x:t xml:space="preserve">Restrict assistant access to approved finance records</x:t>
  </x:si>
  <x:si>
    <x:t xml:space="preserve">C149</x:t>
  </x:si>
  <x:si>
    <x:t xml:space="preserve">Accountant reviews all AI-generated reconciliation suggestions</x:t>
  </x:si>
  <x:si>
    <x:t xml:space="preserve">C150</x:t>
  </x:si>
  <x:si>
    <x:t xml:space="preserve">Review incorrect financial close recommendations and hallucinations</x:t>
  </x:si>
  <x:si>
    <x:t xml:space="preserve">Incident_ID</x:t>
  </x:si>
  <x:si>
    <x:t xml:space="preserve">Incident_Date</x:t>
  </x:si>
  <x:si>
    <x:t xml:space="preserve">Incident_Type</x:t>
  </x:si>
  <x:si>
    <x:t xml:space="preserve">Severity</x:t>
  </x:si>
  <x:si>
    <x:t xml:space="preserve">Description</x:t>
  </x:si>
  <x:si>
    <x:t xml:space="preserve">Business_Impact</x:t>
  </x:si>
  <x:si>
    <x:t xml:space="preserve">Root_Cause_Category</x:t>
  </x:si>
  <x:si>
    <x:t xml:space="preserve">Status</x:t>
  </x:si>
  <x:si>
    <x:t xml:space="preserve">Resolution_Date</x:t>
  </x:si>
  <x:si>
    <x:t xml:space="preserve">INC001</x:t>
  </x:si>
  <x:si>
    <x:t xml:space="preserve">Fairness Complaint</x:t>
  </x:si>
  <x:si>
    <x:t xml:space="preserve">Qualified applicants from one candidate group were ranked lower than expected</x:t>
  </x:si>
  <x:si>
    <x:t xml:space="preserve">Potential unequal access to employment opportunities</x:t>
  </x:si>
  <x:si>
    <x:t xml:space="preserve">Training Data Bias</x:t>
  </x:si>
  <x:si>
    <x:t xml:space="preserve">Investigating</x:t>
  </x:si>
  <x:si>
    <x:t xml:space="preserve">INC002</x:t>
  </x:si>
  <x:si>
    <x:t xml:space="preserve">Incorrect Prediction</x:t>
  </x:si>
  <x:si>
    <x:t xml:space="preserve">Several qualified applicants received unusually low screening scores</x:t>
  </x:si>
  <x:si>
    <x:t xml:space="preserve">Recruiters required manual re-review of applications</x:t>
  </x:si>
  <x:si>
    <x:t xml:space="preserve">Model Drift</x:t>
  </x:si>
  <x:si>
    <x:t xml:space="preserve">Resolved</x:t>
  </x:si>
  <x:si>
    <x:t xml:space="preserve">INC003</x:t>
  </x:si>
  <x:si>
    <x:t xml:space="preserve">Weekend shifts were repeatedly concentrated among a subset of employees</x:t>
  </x:si>
  <x:si>
    <x:t xml:space="preserve">Employee complaints and schedule rework</x:t>
  </x:si>
  <x:si>
    <x:t xml:space="preserve">Optimization Configuration</x:t>
  </x:si>
  <x:si>
    <x:t xml:space="preserve">INC004</x:t>
  </x:si>
  <x:si>
    <x:t xml:space="preserve">System failed to identify an impending equipment bearing failure</x:t>
  </x:si>
  <x:si>
    <x:t xml:space="preserve">Unplanned production downtime</x:t>
  </x:si>
  <x:si>
    <x:t xml:space="preserve">Sensor Data Quality</x:t>
  </x:si>
  <x:si>
    <x:t xml:space="preserve">INC005</x:t>
  </x:si>
  <x:si>
    <x:t xml:space="preserve">Prediction accuracy declined after installation of new equipment sensors</x:t>
  </x:si>
  <x:si>
    <x:t xml:space="preserve">Increase in unnecessary maintenance alerts</x:t>
  </x:si>
  <x:si>
    <x:t xml:space="preserve">INC006</x:t>
  </x:si>
  <x:si>
    <x:t xml:space="preserve">Good products were incorrectly classified as defective</x:t>
  </x:si>
  <x:si>
    <x:t xml:space="preserve">Increased scrap review and production delays</x:t>
  </x:si>
  <x:si>
    <x:t xml:space="preserve">Threshold Calibration</x:t>
  </x:si>
  <x:si>
    <x:t xml:space="preserve">INC007</x:t>
  </x:si>
  <x:si>
    <x:t xml:space="preserve">Defective products were missed during a production shift</x:t>
  </x:si>
  <x:si>
    <x:t xml:space="preserve">Additional quality inspection and shipment hold</x:t>
  </x:si>
  <x:si>
    <x:t xml:space="preserve">Image Quality</x:t>
  </x:si>
  <x:si>
    <x:t xml:space="preserve">INC008</x:t>
  </x:si>
  <x:si>
    <x:t xml:space="preserve">Low-risk supplier was incorrectly classified as high risk</x:t>
  </x:si>
  <x:si>
    <x:t xml:space="preserve">Supplier review effort increased unnecessarily</x:t>
  </x:si>
  <x:si>
    <x:t xml:space="preserve">Data Quality</x:t>
  </x:si>
  <x:si>
    <x:t xml:space="preserve">INC009</x:t>
  </x:si>
  <x:si>
    <x:t xml:space="preserve">Legitimate invoices were repeatedly flagged as suspicious</x:t>
  </x:si>
  <x:si>
    <x:t xml:space="preserve">Payment delays and additional review workload</x:t>
  </x:si>
  <x:si>
    <x:t xml:space="preserve">INC010</x:t>
  </x:si>
  <x:si>
    <x:t xml:space="preserve">Hallucination</x:t>
  </x:si>
  <x:si>
    <x:t xml:space="preserve">Chatbot provided an incorrect warranty policy to a customer</x:t>
  </x:si>
  <x:si>
    <x:t xml:space="preserve">Customer complaint and manual service recovery</x:t>
  </x:si>
  <x:si>
    <x:t xml:space="preserve">Prompt Output Failure</x:t>
  </x:si>
  <x:si>
    <x:t xml:space="preserve">INC011</x:t>
  </x:si>
  <x:si>
    <x:t xml:space="preserve">Privacy Exposure</x:t>
  </x:si>
  <x:si>
    <x:t xml:space="preserve">Chatbot response included information from another customer case</x:t>
  </x:si>
  <x:si>
    <x:t xml:space="preserve">Potential customer privacy breach</x:t>
  </x:si>
  <x:si>
    <x:t xml:space="preserve">Access Control</x:t>
  </x:si>
  <x:si>
    <x:t xml:space="preserve">Remediated</x:t>
  </x:si>
  <x:si>
    <x:t xml:space="preserve">INC012</x:t>
  </x:si>
  <x:si>
    <x:t xml:space="preserve">Chatbot invented a product feature that did not exist</x:t>
  </x:si>
  <x:si>
    <x:t xml:space="preserve">Incorrect customer guidance</x:t>
  </x:si>
  <x:si>
    <x:t xml:space="preserve">INC013</x:t>
  </x:si>
  <x:si>
    <x:t xml:space="preserve">Unauthorized Information Exposure</x:t>
  </x:si>
  <x:si>
    <x:t xml:space="preserve">Internal assistant displayed confidential project information to an unauthorized employee</x:t>
  </x:si>
  <x:si>
    <x:t xml:space="preserve">Confidentiality risk and internal investigation</x:t>
  </x:si>
  <x:si>
    <x:t xml:space="preserve">INC014</x:t>
  </x:si>
  <x:si>
    <x:t xml:space="preserve">Assistant generated an incorrect internal policy summary</x:t>
  </x:si>
  <x:si>
    <x:t xml:space="preserve">Employees received misleading procedural guidance</x:t>
  </x:si>
  <x:si>
    <x:t xml:space="preserve">INC015</x:t>
  </x:si>
  <x:si>
    <x:t xml:space="preserve">Customer churn prediction accuracy declined after pricing changes</x:t>
  </x:si>
  <x:si>
    <x:t xml:space="preserve">Retention team targeted incorrect customer segments</x:t>
  </x:si>
  <x:si>
    <x:t xml:space="preserve">INC016</x:t>
  </x:si>
  <x:si>
    <x:t xml:space="preserve">False Positive</x:t>
  </x:si>
  <x:si>
    <x:t xml:space="preserve">Normal administrator activity triggered multiple high-risk security alerts</x:t>
  </x:si>
  <x:si>
    <x:t xml:space="preserve">Cybersecurity analyst workload increased</x:t>
  </x:si>
  <x:si>
    <x:t xml:space="preserve">INC017</x:t>
  </x:si>
  <x:si>
    <x:t xml:space="preserve">Help desk assistant recommended an outdated software troubleshooting procedure</x:t>
  </x:si>
  <x:si>
    <x:t xml:space="preserve">Minor employee productivity loss</x:t>
  </x:si>
  <x:si>
    <x:t xml:space="preserve">Knowledge Base Quality</x:t>
  </x:si>
  <x:si>
    <x:t xml:space="preserve">INC018</x:t>
  </x:si>
  <x:si>
    <x:t xml:space="preserve">Legitimate administrator access was rated as highly suspicious</x:t>
  </x:si>
  <x:si>
    <x:t xml:space="preserve">Temporary delay in privileged access approval</x:t>
  </x:si>
  <x:si>
    <x:t xml:space="preserve">Model Configuration</x:t>
  </x:si>
  <x:si>
    <x:t xml:space="preserve">INC019</x:t>
  </x:si>
  <x:si>
    <x:t xml:space="preserve">Root cause tool suggested an unsupported equipment failure mechanism</x:t>
  </x:si>
  <x:si>
    <x:t xml:space="preserve">Engineering team spent time investigating an unlikely cause</x:t>
  </x:si>
  <x:si>
    <x:t xml:space="preserve">INC020</x:t>
  </x:si>
  <x:si>
    <x:t xml:space="preserve">Fairness Concern</x:t>
  </x:si>
  <x:si>
    <x:t xml:space="preserve">Segmentation model relied heavily on a geographic variable correlated with income</x:t>
  </x:si>
  <x:si>
    <x:t xml:space="preserve">Potential inappropriate customer targeting</x:t>
  </x:si>
  <x:si>
    <x:t xml:space="preserve">Proxy Variable Risk</x:t>
  </x:si>
  <x:si>
    <x:t xml:space="preserve">INC021</x:t>
  </x:si>
  <x:si>
    <x:t xml:space="preserve">Recommendation exposure differed substantially across customer groups</x:t>
  </x:si>
  <x:si>
    <x:t xml:space="preserve">Potential unequal product visibility</x:t>
  </x:si>
  <x:si>
    <x:t xml:space="preserve">Recommendation Bias</x:t>
  </x:si>
  <x:si>
    <x:t xml:space="preserve">Open</x:t>
  </x:si>
  <x:si>
    <x:t xml:space="preserve">INC022</x:t>
  </x:si>
  <x:si>
    <x:t xml:space="preserve">Pricing Error</x:t>
  </x:si>
  <x:si>
    <x:t xml:space="preserve">Optimization model recommended an unusually large price increase for a product category</x:t>
  </x:si>
  <x:si>
    <x:t xml:space="preserve">Potential revenue and customer trust impact</x:t>
  </x:si>
  <x:si>
    <x:t xml:space="preserve">INC023</x:t>
  </x:si>
  <x:si>
    <x:t xml:space="preserve">Unsafe Recommendation</x:t>
  </x:si>
  <x:si>
    <x:t xml:space="preserve">Design assistant proposed a material unsuitable for operating temperature requirements</x:t>
  </x:si>
  <x:si>
    <x:t xml:space="preserve">Potential engineering safety risk</x:t>
  </x:si>
  <x:si>
    <x:t xml:space="preserve">INC024</x:t>
  </x:si>
  <x:si>
    <x:t xml:space="preserve">Simulation underestimated equipment energy consumption under peak conditions</x:t>
  </x:si>
  <x:si>
    <x:t xml:space="preserve">Engineering analysis had to be repeated</x:t>
  </x:si>
  <x:si>
    <x:t xml:space="preserve">Model Assumption Error</x:t>
  </x:si>
  <x:si>
    <x:t xml:space="preserve">INC025</x:t>
  </x:si>
  <x:si>
    <x:t xml:space="preserve">False Negative</x:t>
  </x:si>
  <x:si>
    <x:t xml:space="preserve">Drawing review system failed to flag a dimensional inconsistency</x:t>
  </x:si>
  <x:si>
    <x:t xml:space="preserve">Engineering review delay and design rework</x:t>
  </x:si>
  <x:si>
    <x:t xml:space="preserve">Training Data Gap</x:t>
  </x:si>
  <x:si>
    <x:t xml:space="preserve">INC026</x:t>
  </x:si>
  <x:si>
    <x:t xml:space="preserve">Safety model failed to flag operating conditions later associated with a minor incident</x:t>
  </x:si>
  <x:si>
    <x:t xml:space="preserve">Safety investigation and model review</x:t>
  </x:si>
  <x:si>
    <x:t xml:space="preserve">INC027</x:t>
  </x:si>
  <x:si>
    <x:t xml:space="preserve">Contract assistant incorrectly summarized a supplier termination clause</x:t>
  </x:si>
  <x:si>
    <x:t xml:space="preserve">Procurement decision was temporarily delayed</x:t>
  </x:si>
  <x:si>
    <x:t xml:space="preserve">INC028</x:t>
  </x:si>
  <x:si>
    <x:t xml:space="preserve">Similar credit profiles received different risk classifications</x:t>
  </x:si>
  <x:si>
    <x:t xml:space="preserve">Potential unfair customer credit treatment</x:t>
  </x:si>
  <x:si>
    <x:t xml:space="preserve">Model Bias</x:t>
  </x:si>
  <x:si>
    <x:t xml:space="preserve">INC029</x:t>
  </x:si>
  <x:si>
    <x:t xml:space="preserve">Low-risk customer was classified as high credit risk</x:t>
  </x:si>
  <x:si>
    <x:t xml:space="preserve">Credit approval delayed pending manual review</x:t>
  </x:si>
  <x:si>
    <x:t xml:space="preserve">INC030</x:t>
  </x:si>
  <x:si>
    <x:t xml:space="preserve">Generated call summary retained sensitive customer information unnecessarily</x:t>
  </x:si>
  <x:si>
    <x:t xml:space="preserve">Privacy review and data removal required</x:t>
  </x:si>
  <x:si>
    <x:t xml:space="preserve">Data Minimization Failure</x:t>
  </x:si>
  <x:si>
    <x:t xml:space="preserve">INC031</x:t>
  </x:si>
  <x:si>
    <x:t xml:space="preserve">Security Vulnerability</x:t>
  </x:si>
  <x:si>
    <x:t xml:space="preserve">AI-generated code introduced an insecure input validation pattern</x:t>
  </x:si>
  <x:si>
    <x:t xml:space="preserve">Development release delayed for remediation</x:t>
  </x:si>
  <x:si>
    <x:t xml:space="preserve">Unsafe Code Generation</x:t>
  </x:si>
  <x:si>
    <x:t xml:space="preserve">INC032</x:t>
  </x:si>
  <x:si>
    <x:t xml:space="preserve">Phishing message was not identified by the detection model</x:t>
  </x:si>
  <x:si>
    <x:t xml:space="preserve">Employee mailbox exposure and security investigation</x:t>
  </x:si>
  <x:si>
    <x:t xml:space="preserve">Model Evasion</x:t>
  </x:si>
  <x:si>
    <x:t xml:space="preserve">INC033</x:t>
  </x:si>
  <x:si>
    <x:t xml:space="preserve">Incorrect Classification</x:t>
  </x:si>
  <x:si>
    <x:t xml:space="preserve">Confidential engineering file was classified as normal internal data</x:t>
  </x:si>
  <x:si>
    <x:t xml:space="preserve">Incorrect information protection level applied</x:t>
  </x:si>
  <x:si>
    <x:t xml:space="preserve">INC034</x:t>
  </x:si>
  <x:si>
    <x:t xml:space="preserve">Supplier quality model overstated risk for a recently improved supplier</x:t>
  </x:si>
  <x:si>
    <x:t xml:space="preserve">Unnecessary supplier corrective action review</x:t>
  </x:si>
  <x:si>
    <x:t xml:space="preserve">Outdated Data</x:t>
  </x:si>
  <x:si>
    <x:t xml:space="preserve">INC035</x:t>
  </x:si>
  <x:si>
    <x:t xml:space="preserve">Lead scoring appeared to systematically favor customers from certain regions</x:t>
  </x:si>
  <x:si>
    <x:t xml:space="preserve">Sales allocation required review</x:t>
  </x:si>
  <x:si>
    <x:t xml:space="preserve">INC036</x:t>
  </x:si>
  <x:si>
    <x:t xml:space="preserve">Requirements assistant omitted an important compliance requirement from its summary</x:t>
  </x:si>
  <x:si>
    <x:t xml:space="preserve">Engineering review had to be repeated</x:t>
  </x:si>
  <x:si>
    <x:t xml:space="preserve">INC037</x:t>
  </x:si>
  <x:si>
    <x:t xml:space="preserve">Attrition model produced substantially different risk distributions between employee groups</x:t>
  </x:si>
  <x:si>
    <x:t xml:space="preserve">Potential inappropriate employee intervention decisions</x:t>
  </x:si>
  <x:si>
    <x:t xml:space="preserve">INC038</x:t>
  </x:si>
  <x:si>
    <x:t xml:space="preserve">System Failure</x:t>
  </x:si>
  <x:si>
    <x:t xml:space="preserve">Warehouse routing system temporarily stopped responding during peak operations</x:t>
  </x:si>
  <x:si>
    <x:t xml:space="preserve">Warehouse delays and manual routing required</x:t>
  </x:si>
  <x:si>
    <x:t xml:space="preserve">Integration Error</x:t>
  </x:si>
  <x:si>
    <x:t xml:space="preserve">INC039</x:t>
  </x:si>
  <x:si>
    <x:t xml:space="preserve">Safety vision system repeatedly flagged compliant workers as missing protective equipment</x:t>
  </x:si>
  <x:si>
    <x:t xml:space="preserve">Alert fatigue during pilot testing</x:t>
  </x:si>
  <x:si>
    <x:t xml:space="preserve">INC040</x:t>
  </x:si>
  <x:si>
    <x:t xml:space="preserve">Financial close assistant suggested an incorrect reconciliation adjustment</x:t>
  </x:si>
  <x:si>
    <x:t xml:space="preserve">Accountant detected issue before posting</x:t>
  </x:si>
  <x:si>
    <x:t xml:space="preserve">Remediation_ID</x:t>
  </x:si>
  <x:si>
    <x:t xml:space="preserve">Governance_Issue</x:t>
  </x:si>
  <x:si>
    <x:t xml:space="preserve">Recommended_Action</x:t>
  </x:si>
  <x:si>
    <x:t xml:space="preserve">Priority</x:t>
  </x:si>
  <x:si>
    <x:t xml:space="preserve">Action_Owner</x:t>
  </x:si>
  <x:si>
    <x:t xml:space="preserve">Start_Date</x:t>
  </x:si>
  <x:si>
    <x:t xml:space="preserve">Target_Date</x:t>
  </x:si>
  <x:si>
    <x:t xml:space="preserve">Success_Metric</x:t>
  </x:si>
  <x:si>
    <x:t xml:space="preserve">Project Name</x:t>
  </x:si>
  <x:si>
    <x:t xml:space="preserve">Enterprise AI Governance Remediation Program</x:t>
  </x:si>
  <x:si>
    <x:t xml:space="preserve">Project Objective</x:t>
  </x:si>
  <x:si>
    <x:t xml:space="preserve">Reduce governance risk across NorthStar Manufacturing’s highest-priority AI systems by addressing critical control weaknesses, strengthening oversight, and improving monitoring.</x:t>
  </x:si>
  <x:si>
    <x:t xml:space="preserve">Scope</x:t>
  </x:si>
  <x:si>
    <x:t xml:space="preserve">Top 5 AI systems identified through the Governance Priority Score</x:t>
  </x:si>
  <x:si>
    <x:t xml:space="preserve">Timeline</x:t>
  </x:si>
  <x:si>
    <x:t xml:space="preserve">October 2026 – March 2027</x:t>
  </x:si>
  <x:si>
    <x:t xml:space="preserve">Project Sponsor</x:t>
  </x:si>
  <x:si>
    <x:t xml:space="preserve">Chief Risk Officer</x:t>
  </x:si>
  <x:si>
    <x:t xml:space="preserve">Project Lead</x:t>
  </x:si>
  <x:si>
    <x:t xml:space="preserve">AI Governance Analyst</x:t>
  </x:si>
  <x:si>
    <x:t xml:space="preserve">Key Stakeholders</x:t>
  </x:si>
  <x:si>
    <x:t xml:space="preserve">System Owners, HR, IT, Cybersecurity, Legal, Privacy, Finance, Data/Analytics</x:t>
  </x:si>
  <x:si>
    <x:t xml:space="preserve">Key Deliverables</x:t>
  </x:si>
  <x:si>
    <x:t xml:space="preserve">Task_ID</x:t>
  </x:si>
  <x:si>
    <x:t xml:space="preserve">Phase</x:t>
  </x:si>
  <x:si>
    <x:t xml:space="preserve">Task</x:t>
  </x:si>
  <x:si>
    <x:t xml:space="preserve">Owner</x:t>
  </x:si>
  <x:si>
    <x:t xml:space="preserve">End_Date</x:t>
  </x:si>
  <x:si>
    <x:t xml:space="preserve">Duration_Days</x:t>
  </x:si>
  <x:si>
    <x:t xml:space="preserve">T001</x:t>
  </x:si>
  <x:si>
    <x:t xml:space="preserve">Assessment &amp; Planning</x:t>
  </x:si>
  <x:si>
    <x:t xml:space="preserve">Confirm top 5 priority AI systems</x:t>
  </x:si>
  <x:si>
    <x:t xml:space="preserve">None</x:t>
  </x:si>
  <x:si>
    <x:t xml:space="preserve">Planned</x:t>
  </x:si>
  <x:si>
    <x:t xml:space="preserve">T002</x:t>
  </x:si>
  <x:si>
    <x:t xml:space="preserve">Confirm remediation owners and responsibilities</x:t>
  </x:si>
  <x:si>
    <x:t xml:space="preserve">T003</x:t>
  </x:si>
  <x:si>
    <x:t xml:space="preserve">Review open incidents and control deficiencies</x:t>
  </x:si>
  <x:si>
    <x:t xml:space="preserve">T004</x:t>
  </x:si>
  <x:si>
    <x:t xml:space="preserve">Control Remediation</x:t>
  </x:si>
  <x:si>
    <x:t xml:space="preserve">Implement fairness testing for credit and employment AI systems</x:t>
  </x:si>
  <x:si>
    <x:t xml:space="preserve">People Analytics and Credit Risk</x:t>
  </x:si>
  <x:si>
    <x:t xml:space="preserve">T005</x:t>
  </x:si>
  <x:si>
    <x:t xml:space="preserve">Develop AI decision transparency documentation</x:t>
  </x:si>
  <x:si>
    <x:t xml:space="preserve">System Owners</x:t>
  </x:si>
  <x:si>
    <x:t xml:space="preserve">T006</x:t>
  </x:si>
  <x:si>
    <x:t xml:space="preserve">T007</x:t>
  </x:si>
  <x:si>
    <x:t xml:space="preserve">Implement generative AI hallucination monitoring</x:t>
  </x:si>
  <x:si>
    <x:t xml:space="preserve">T008</x:t>
  </x:si>
  <x:si>
    <x:t xml:space="preserve">Validation &amp; Testing</x:t>
  </x:si>
  <x:si>
    <x:t xml:space="preserve">Test remediated governance controls</x:t>
  </x:si>
  <x:si>
    <x:t xml:space="preserve">T004,T005,T006,T007</x:t>
  </x:si>
  <x:si>
    <x:t xml:space="preserve">T009</x:t>
  </x:si>
  <x:si>
    <x:t xml:space="preserve">Perform follow-up AI risk assessments</x:t>
  </x:si>
  <x:si>
    <x:t xml:space="preserve">T010</x:t>
  </x:si>
  <x:si>
    <x:t xml:space="preserve">Closeout &amp; Monitoring</x:t>
  </x:si>
  <x:si>
    <x:t xml:space="preserve">Prepare executive governance report</x:t>
  </x:si>
  <x:si>
    <x:t xml:space="preserve">T011</x:t>
  </x:si>
  <x:si>
    <x:t xml:space="preserve">Transition priority systems to recurring monitoring</x:t>
  </x:si>
  <x:si>
    <x:t xml:space="preserve">Risk_ID</x:t>
  </x:si>
  <x:si>
    <x:t xml:space="preserve">Project Risk</x:t>
  </x:si>
  <x:si>
    <x:t xml:space="preserve">Likelihood</x:t>
  </x:si>
  <x:si>
    <x:t xml:space="preserve">Impact</x:t>
  </x:si>
  <x:si>
    <x:t xml:space="preserve">Mitigation</x:t>
  </x:si>
  <x:si>
    <x:t xml:space="preserve">PR001</x:t>
  </x:si>
  <x:si>
    <x:t xml:space="preserve">AI vendor delays technical documentation</x:t>
  </x:si>
  <x:si>
    <x:t xml:space="preserve">Request documentation early and escalate overdue items</x:t>
  </x:si>
  <x:si>
    <x:t xml:space="preserve">PR002</x:t>
  </x:si>
  <x:si>
    <x:t xml:space="preserve">Business teams resist additional governance controls</x:t>
  </x:si>
  <x:si>
    <x:t xml:space="preserve">Involve system owners early and explain business impact of remediation</x:t>
  </x:si>
  <x:si>
    <x:t xml:space="preserve">PR003</x:t>
  </x:si>
  <x:si>
    <x:t xml:space="preserve">Limited governance resources delay remediation</x:t>
  </x:si>
  <x:si>
    <x:t xml:space="preserve">Prioritize Critical systems and phase lower-priority work</x:t>
  </x:si>
  <x:si>
    <x:t xml:space="preserve">PR004</x:t>
  </x:si>
  <x:si>
    <x:t xml:space="preserve">AI models change during remediation work</x:t>
  </x:si>
  <x:si>
    <x:t xml:space="preserve">Require formal change-control review before major model updates</x:t>
  </x:si>
  <x:si>
    <x:t xml:space="preserve">System Owner</x:t>
  </x:si>
  <x:si>
    <x:t xml:space="preserve">PR005</x:t>
  </x:si>
  <x:si>
    <x:t xml:space="preserve">Incomplete incident documentation affects root-cause analysis</x:t>
  </x:si>
  <x:si>
    <x:t xml:space="preserve">Introduce a standardized AI incident reporting template</x:t>
  </x:si>
  <x:si>
    <x:t xml:space="preserve">PR006</x:t>
  </x:si>
  <x:si>
    <x:t xml:space="preserve">Privacy or legal review delays control implementation</x:t>
  </x:si>
  <x:si>
    <x:t xml:space="preserve">Schedule Legal and Privacy reviews as early dependencies</x:t>
  </x:si>
  <x:si>
    <x:t xml:space="preserve">Activity</x:t>
  </x:si>
  <x:si>
    <x:t xml:space="preserve">IT/Security</x:t>
  </x:si>
  <x:si>
    <x:t xml:space="preserve">Legal/Privacy</x:t>
  </x:si>
  <x:si>
    <x:t xml:space="preserve">Executive Sponsor</x:t>
  </x:si>
  <x:si>
    <x:t xml:space="preserve">Legend</x:t>
  </x:si>
  <x:si>
    <x:t xml:space="preserve">Meaning</x:t>
  </x:si>
  <x:si>
    <x:t xml:space="preserve">Risk Assessment</x:t>
  </x:si>
  <x:si>
    <x:t xml:space="preserve">R</x:t>
  </x:si>
  <x:si>
    <x:t xml:space="preserve">C</x:t>
  </x:si>
  <x:si>
    <x:t xml:space="preserve">I</x:t>
  </x:si>
  <x:si>
    <x:t xml:space="preserve">Responsible</x:t>
  </x:si>
  <x:si>
    <x:t xml:space="preserve">Remediation Planning</x:t>
  </x:si>
  <x:si>
    <x:t xml:space="preserve">A</x:t>
  </x:si>
  <x:si>
    <x:t xml:space="preserve">Accountable</x:t>
  </x:si>
  <x:si>
    <x:t xml:space="preserve">Control Implementation</x:t>
  </x:si>
  <x:si>
    <x:t xml:space="preserve">A/R</x:t>
  </x:si>
  <x:si>
    <x:t xml:space="preserve">Consulted</x:t>
  </x:si>
  <x:si>
    <x:t xml:space="preserve">Control Testing</x:t>
  </x:si>
  <x:si>
    <x:t xml:space="preserve">Informed</x:t>
  </x:si>
  <x:si>
    <x:t xml:space="preserve">Incident Review</x:t>
  </x:si>
  <x:si>
    <x:t xml:space="preserve">Follow-Up Risk Assessment</x:t>
  </x:si>
  <x:si>
    <x:t xml:space="preserve">Risk Acceptance</x:t>
  </x:si>
  <x:si>
    <x:t xml:space="preserve">Executive Reporting</x:t>
  </x:si>
  <x:si>
    <x:t xml:space="preserve">Recurring Monitoring</x:t>
  </x:si>
</x:sst>
</file>

<file path=xl/styles.xml><?xml version="1.0" encoding="utf-8"?>
<x:styleSheet xmlns:x="http://schemas.openxmlformats.org/spreadsheetml/2006/main">
  <x:numFmts count="5">
    <x:numFmt numFmtId="164" formatCode="yyyy\-mm\-dd;@"/>
    <x:numFmt numFmtId="167" formatCode="mmm\ yyyy"/>
    <x:numFmt numFmtId="200" formatCode="0.00"/>
    <x:numFmt numFmtId="201" formatCode="yyyy-mm-dd"/>
    <x:numFmt numFmtId="202" formatCode="mmm yyyy"/>
  </x:numFmts>
  <x:fonts count="2">
    <x:font>
      <x:sz val="11"/>
      <x:color theme="1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2" fontId="0" fillId="0" borderId="0" xfId="0" applyNumberFormat="1"/>
    <x:xf numFmtId="164" fontId="0" fillId="0" borderId="0" xfId="0" applyNumberFormat="1"/>
    <x:xf numFmtId="14" fontId="0" fillId="0" borderId="0" xfId="0" applyNumberFormat="1"/>
    <x:xf numFmtId="0" fontId="0" fillId="0" borderId="0" xfId="0" applyAlignment="1">
      <x:alignment wrapText="1"/>
    </x:xf>
    <x:xf numFmtId="167" fontId="0" fillId="0" borderId="0" xfId="0" applyNumberFormat="1"/>
    <x:xf numFmtId="0" fontId="0" fillId="0" borderId="1" xfId="0" applyNumberFormat="1" applyFont="1" applyFill="1" applyBorder="1"/>
    <x:xf numFmtId="2" fontId="0" fillId="0" borderId="1" xfId="0" applyNumberFormat="1" applyFont="1" applyFill="1" applyBorder="1"/>
    <x:xf numFmtId="164" fontId="0" fillId="0" borderId="1" xfId="0" applyNumberFormat="1" applyFont="1" applyFill="1" applyBorder="1"/>
    <x:xf numFmtId="14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167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5">
    <x:dxf>
      <x:fill>
        <x:patternFill>
          <x:bgColor theme="8"/>
        </x:patternFill>
      </x:fill>
    </x:dxf>
    <x:dxf/>
    <x:dxf>
      <x:numFmt numFmtId="0" formatCode="General"/>
    </x:dxf>
    <x:dxf>
      <x:numFmt numFmtId="19" formatCode="m/d/yyyy"/>
    </x:dxf>
    <x:dxf>
      <x:numFmt numFmtId="19" formatCode="m/d/yyyy"/>
    </x:dxf>
    <x:dxf/>
    <x:dxf>
      <x:numFmt numFmtId="164" formatCode="yyyy\-mm\-dd;@"/>
    </x:dxf>
    <x:dxf>
      <x:numFmt numFmtId="164" formatCode="yyyy\-mm\-dd;@"/>
    </x:dxf>
    <x:dxf>
      <x:numFmt numFmtId="164" formatCode="yyyy\-mm\-dd;@"/>
    </x:dxf>
    <x:dxf>
      <x:numFmt numFmtId="164" formatCode="yyyy\-mm\-dd;@"/>
    </x:dxf>
    <x:dxf>
      <x:numFmt numFmtId="164" formatCode="yyyy\-mm\-dd;@"/>
    </x:dxf>
    <x:dxf>
      <x:numFmt numFmtId="164" formatCode="yyyy\-mm\-dd;@"/>
    </x:dxf>
    <x:dxf>
      <x:numFmt numFmtId="2" formatCode="0.00"/>
    </x:dxf>
    <x:dxf>
      <x:numFmt numFmtId="164" formatCode="yyyy\-mm\-dd;@"/>
    </x:dxf>
    <x:dxf>
      <x:numFmt numFmtId="164" formatCode="yyyy\-mm\-dd;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8b700e5694dc3" /><Relationship Type="http://schemas.openxmlformats.org/officeDocument/2006/relationships/theme" Target="/xl/theme/theme1.xml" Id="R876970e9d64e4c2e" /><Relationship Type="http://schemas.openxmlformats.org/officeDocument/2006/relationships/sharedStrings" Target="/xl/sharedStrings.xml" Id="R623a6b13e3da4029" /><Relationship Type="http://schemas.openxmlformats.org/officeDocument/2006/relationships/worksheet" Target="/xl/worksheets/sheet1.xml" Id="Rab1a2fc2f78b40f4" /><Relationship Type="http://schemas.openxmlformats.org/officeDocument/2006/relationships/worksheet" Target="/xl/worksheets/sheet2.xml" Id="Re981435ddaeb47e6" /><Relationship Type="http://schemas.openxmlformats.org/officeDocument/2006/relationships/worksheet" Target="/xl/worksheets/sheet3.xml" Id="R55e48a50699c4c68" /><Relationship Type="http://schemas.openxmlformats.org/officeDocument/2006/relationships/worksheet" Target="/xl/worksheets/sheet4.xml" Id="R1d5c68bc2e214220" /><Relationship Type="http://schemas.openxmlformats.org/officeDocument/2006/relationships/worksheet" Target="/xl/worksheets/sheet5.xml" Id="Rf97433dd57574e0e" /><Relationship Type="http://schemas.openxmlformats.org/officeDocument/2006/relationships/worksheet" Target="/xl/worksheets/sheet6.xml" Id="R8764947d47ca4181" /><Relationship Type="http://schemas.openxmlformats.org/officeDocument/2006/relationships/worksheet" Target="/xl/worksheets/sheet7.xml" Id="Rb4545e9ae9b9460d" /><Relationship Type="http://schemas.openxmlformats.org/officeDocument/2006/relationships/worksheet" Target="/xl/worksheets/sheet8.xml" Id="Re179e790ed9d4ff9" /><Relationship Type="http://schemas.openxmlformats.org/officeDocument/2006/relationships/worksheet" Target="/xl/worksheets/sheet9.xml" Id="R86710fb87074482f" /><Relationship Type="http://schemas.openxmlformats.org/officeDocument/2006/relationships/worksheet" Target="/xl/worksheets/sheet10.xml" Id="R6b4ebd0b1b714f87" /></Relationships>
</file>

<file path=xl/tables/table1.xml><?xml version="1.0" encoding="utf-8"?>
<x:table xmlns:x="http://schemas.openxmlformats.org/spreadsheetml/2006/main" id="1" name="tbl_departments" displayName="tbl_departments" ref="A1:D10" totalsRowShown="0">
  <x:autoFilter ref="A1:D10"/>
  <x:tableColumns count="4">
    <x:tableColumn id="1" name="Department_ID">
      <x:calculatedColumnFormula>"D"&amp;TEXT(ROW(A1),"000")</x:calculatedColumnFormula>
    </x:tableColumn>
    <x:tableColumn id="2" name="Department_Name"/>
    <x:tableColumn id="3" name="Department_Head"/>
    <x:tableColumn id="4" name="Employee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ai_systems" displayName="tbl_ai_systems" ref="A1:N51" totalsRowShown="0">
  <x:autoFilter ref="A1:N51"/>
  <x:tableColumns count="14">
    <x:tableColumn id="1" name="AI_System_ID">
      <x:calculatedColumnFormula>"AI"&amp;TEXT(ROW()-1,"000")</x:calculatedColumnFormula>
    </x:tableColumn>
    <x:tableColumn id="2" name="System_Name"/>
    <x:tableColumn id="3" name="Department_ID"/>
    <x:tableColumn id="4" name="AI_Type"/>
    <x:tableColumn id="5" name="Purpose"/>
    <x:tableColumn id="6" name="Vendor_Type"/>
    <x:tableColumn id="7" name="Deployment_Type"/>
    <x:tableColumn id="8" name="Data_Sensitivity"/>
    <x:tableColumn id="9" name="Decision_Impact"/>
    <x:tableColumn id="10" name="Human_Decision_Involved"/>
    <x:tableColumn id="11" name="System_Status"/>
    <x:tableColumn id="12" name="System_Owner"/>
    <x:tableColumn id="13" name="Deployment_Date" dataDxfId="14"/>
    <x:tableColumn id="14" name="Last_Review_Date" dataDxfId="1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tbl_risk_assessments" displayName="tbl_risk_assessments" ref="A1:L51" headerRowCount="1" totalsRowCount="0" totalsRowShown="0">
  <x:autoFilter ref="A1:L51"/>
  <x:tableColumns count="12">
    <x:tableColumn id="1" name="Assessment_ID"/>
    <x:tableColumn id="2" name="AI_System_ID"/>
    <x:tableColumn id="3" name="Privacy_Risk"/>
    <x:tableColumn id="4" name="Fairness_Risk"/>
    <x:tableColumn id="5" name="Security_Risk"/>
    <x:tableColumn id="6" name="Reliability_Risk"/>
    <x:tableColumn id="7" name="Transparency_Risk"/>
    <x:tableColumn id="8" name="Human_Oversight_Risk"/>
    <x:tableColumn id="9" name="Overall_Risk_Score"/>
    <x:tableColumn id="10" name="Risk_Level"/>
    <x:tableColumn id="11" name="Assessment_Date"/>
    <x:tableColumn id="12" name="Review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governance_controls" displayName="tbl_governance_controls" ref="A1:J151" totalsRowShown="0">
  <x:autoFilter ref="A1:J151"/>
  <x:tableColumns count="10">
    <x:tableColumn id="1" name="Control_ID"/>
    <x:tableColumn id="2" name="AI_System_ID"/>
    <x:tableColumn id="3" name="Control_Category"/>
    <x:tableColumn id="4" name="Control_Name"/>
    <x:tableColumn id="5" name="Control_Status"/>
    <x:tableColumn id="6" name="Control_Effectiveness"/>
    <x:tableColumn id="7" name="Control_Owner"/>
    <x:tableColumn id="8" name="Implementation_Date" dataDxfId="10"/>
    <x:tableColumn id="9" name="Last_Test_Date" dataDxfId="9"/>
    <x:tableColumn id="10" name="Next_Review_Date" dataDxfId="8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ai_incidents" displayName="tbl_ai_incidents" ref="A1:J41" totalsRowShown="0">
  <x:autoFilter ref="A1:J41"/>
  <x:tableColumns count="10">
    <x:tableColumn id="1" name="Incident_ID"/>
    <x:tableColumn id="2" name="AI_System_ID"/>
    <x:tableColumn id="3" name="Incident_Date" dataDxfId="7"/>
    <x:tableColumn id="4" name="Incident_Type"/>
    <x:tableColumn id="5" name="Severity"/>
    <x:tableColumn id="6" name="Description"/>
    <x:tableColumn id="7" name="Business_Impact"/>
    <x:tableColumn id="8" name="Root_Cause_Category"/>
    <x:tableColumn id="9" name="Status"/>
    <x:tableColumn id="10" name="Resolution_Date" dataDxfId="6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Table7" displayName="Table7" ref="A1:I12" totalsRowShown="0">
  <x:autoFilter ref="A1:I12"/>
  <x:tableColumns count="9">
    <x:tableColumn id="1" name="Task_ID"/>
    <x:tableColumn id="2" name="Phase"/>
    <x:tableColumn id="3" name="Task" dataDxfId="5"/>
    <x:tableColumn id="4" name="Owner"/>
    <x:tableColumn id="5" name="Start_Date" dataDxfId="4"/>
    <x:tableColumn id="6" name="End_Date" dataDxfId="3"/>
    <x:tableColumn id="7" name="Dependancy"/>
    <x:tableColumn id="8" name="Status"/>
    <x:tableColumn id="9" name="Duration_Days" dataDxfId="2">
      <x:calculatedColumnFormula>F2-E2+1</x:calculatedColumnFormula>
    </x:tableColumn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Table8" displayName="Table8" ref="A1:G7" totalsRowShown="0">
  <x:autoFilter ref="A1:G7"/>
  <x:tableColumns count="7">
    <x:tableColumn id="1" name="Risk_ID"/>
    <x:tableColumn id="2" name="Project Risk" dataDxfId="1"/>
    <x:tableColumn id="3" name="Likelihood"/>
    <x:tableColumn id="4" name="Impact"/>
    <x:tableColumn id="5" name="Mitigation"/>
    <x:tableColumn id="6" name="Own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117d3a53e142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4542c5fd6d40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4bae9fd6eb144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4d8ecb1c614a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c210c49323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295ec52ef7642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e30ffb913f14117" /></Relationships>
</file>

<file path=xl/worksheets/sheet1.xml><?xml version="1.0" encoding="utf-8"?>
<x:worksheet xmlns:x="http://schemas.openxmlformats.org/spreadsheetml/2006/main">
  <x:sheetFormatPr defaultColWidth="25" defaultRowHeight="14.399999618530273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tr">
        <x:f>"D"&amp;TEXT(ROW(A1),"000")</x:f>
        <x:v>D001</x:v>
      </x:c>
      <x:c r="B2" t="s">
        <x:v>4</x:v>
      </x:c>
      <x:c r="C2" t="s">
        <x:v>5</x:v>
      </x:c>
      <x:c r="D2">
        <x:v>95</x:v>
      </x:c>
    </x:row>
    <x:row r="3">
      <x:c r="A3" t="str">
        <x:f t="shared" ref="A3:A10" si="0">"D"&amp;TEXT(ROW(A2),"000")</x:f>
        <x:v>D002</x:v>
      </x:c>
      <x:c r="B3" t="s">
        <x:v>6</x:v>
      </x:c>
      <x:c r="C3" t="s">
        <x:v>7</x:v>
      </x:c>
      <x:c r="D3">
        <x:v>620</x:v>
      </x:c>
    </x:row>
    <x:row r="4">
      <x:c r="A4" t="str">
        <x:f t="shared" si="0"/>
        <x:v>D003</x:v>
      </x:c>
      <x:c r="B4" t="s">
        <x:v>8</x:v>
      </x:c>
      <x:c r="C4" t="s">
        <x:v>9</x:v>
      </x:c>
      <x:c r="D4">
        <x:v>180</x:v>
      </x:c>
    </x:row>
    <x:row r="5">
      <x:c r="A5" t="str">
        <x:f t="shared" si="0"/>
        <x:v>D004</x:v>
      </x:c>
      <x:c r="B5" t="s">
        <x:v>10</x:v>
      </x:c>
      <x:c r="C5" t="s">
        <x:v>11</x:v>
      </x:c>
      <x:c r="D5">
        <x:v>130</x:v>
      </x:c>
    </x:row>
    <x:row r="6">
      <x:c r="A6" t="str">
        <x:f t="shared" si="0"/>
        <x:v>D005</x:v>
      </x:c>
      <x:c r="B6" t="s">
        <x:v>12</x:v>
      </x:c>
      <x:c r="C6" t="s">
        <x:v>13</x:v>
      </x:c>
      <x:c r="D6">
        <x:v>260</x:v>
      </x:c>
    </x:row>
    <x:row r="7">
      <x:c r="A7" t="str">
        <x:f t="shared" si="0"/>
        <x:v>D006</x:v>
      </x:c>
      <x:c r="B7" t="s">
        <x:v>14</x:v>
      </x:c>
      <x:c r="C7" t="s">
        <x:v>15</x:v>
      </x:c>
      <x:c r="D7">
        <x:v>170</x:v>
      </x:c>
    </x:row>
    <x:row r="8">
      <x:c r="A8" t="str">
        <x:f t="shared" si="0"/>
        <x:v>D007</x:v>
      </x:c>
      <x:c r="B8" t="s">
        <x:v>16</x:v>
      </x:c>
      <x:c r="C8" t="s">
        <x:v>17</x:v>
      </x:c>
      <x:c r="D8">
        <x:v>145</x:v>
      </x:c>
    </x:row>
    <x:row r="9">
      <x:c r="A9" t="str">
        <x:f t="shared" si="0"/>
        <x:v>D008</x:v>
      </x:c>
      <x:c r="B9" t="s">
        <x:v>18</x:v>
      </x:c>
      <x:c r="C9" t="s">
        <x:v>19</x:v>
      </x:c>
      <x:c r="D9">
        <x:v>250</x:v>
      </x:c>
    </x:row>
    <x:row r="10">
      <x:c r="A10" t="str">
        <x:f t="shared" si="0"/>
        <x:v>D009</x:v>
      </x:c>
      <x:c r="B10" t="s">
        <x:v>20</x:v>
      </x:c>
      <x:c r="C10" t="s">
        <x:v>21</x:v>
      </x:c>
      <x:c r="D10">
        <x:v>150</x:v>
      </x:c>
    </x:row>
  </x:sheetData>
  <x:pageMargins left="0.7" right="0.7" top="0.75" bottom="0.75" header="0.3" footer="0.3"/>
  <x:tableParts count="1">
    <x:tablePart xmlns:r="http://schemas.openxmlformats.org/officeDocument/2006/relationships" r:id="Rb4117d3a53e142ac"/>
  </x:tableParts>
</x:worksheet>
</file>

<file path=xl/worksheets/sheet2.xml><?xml version="1.0" encoding="utf-8"?>
<x:worksheet xmlns:x="http://schemas.openxmlformats.org/spreadsheetml/2006/main">
  <x:sheetFormatPr defaultColWidth="26.77734375" defaultRowHeight="14.399999618530273"/>
  <x:sheetData>
    <x:row r="1">
      <x:c r="A1" t="s">
        <x:v>22</x:v>
      </x:c>
      <x:c r="B1" t="s">
        <x:v>23</x:v>
      </x:c>
      <x:c r="C1" t="s">
        <x:v>0</x:v>
      </x:c>
      <x:c r="D1" t="s">
        <x:v>24</x:v>
      </x:c>
      <x:c r="E1" t="s">
        <x:v>25</x:v>
      </x:c>
      <x:c r="F1" t="s">
        <x:v>26</x:v>
      </x:c>
      <x:c r="G1" t="s">
        <x:v>27</x:v>
      </x:c>
      <x:c r="H1" t="s">
        <x:v>28</x:v>
      </x:c>
      <x:c r="I1" t="s">
        <x:v>29</x:v>
      </x:c>
      <x:c r="J1" t="s">
        <x:v>30</x:v>
      </x:c>
      <x:c r="K1" t="s">
        <x:v>31</x:v>
      </x:c>
      <x:c r="L1" t="s">
        <x:v>32</x:v>
      </x:c>
      <x:c r="M1" t="s">
        <x:v>33</x:v>
      </x:c>
      <x:c r="N1" t="s">
        <x:v>34</x:v>
      </x:c>
    </x:row>
    <x:row r="2">
      <x:c r="A2" t="str">
        <x:f>"AI"&amp;TEXT(ROW()-1,"000")</x:f>
        <x:v>AI001</x:v>
      </x:c>
      <x:c r="B2" t="s">
        <x:v>35</x:v>
      </x:c>
      <x:c r="C2" t="s">
        <x:v>36</x:v>
      </x:c>
      <x:c r="D2" t="s">
        <x:v>37</x:v>
      </x:c>
      <x:c r="E2" t="s">
        <x:v>38</x:v>
      </x:c>
      <x:c r="F2" t="s">
        <x:v>39</x:v>
      </x:c>
      <x:c r="G2" t="s">
        <x:v>40</x:v>
      </x:c>
      <x:c r="H2" t="s">
        <x:v>41</x:v>
      </x:c>
      <x:c r="I2" t="s">
        <x:v>41</x:v>
      </x:c>
      <x:c r="J2" t="s">
        <x:v>42</x:v>
      </x:c>
      <x:c r="K2" t="s">
        <x:v>43</x:v>
      </x:c>
      <x:c r="L2" t="s">
        <x:v>44</x:v>
      </x:c>
      <x:c r="M2" s="2">
        <x:v>45366</x:v>
      </x:c>
      <x:c r="N2" s="2">
        <x:v>46185</x:v>
      </x:c>
    </x:row>
    <x:row r="3">
      <x:c r="A3" t="str">
        <x:f t="shared" ref="A3:A51" si="0">"AI"&amp;TEXT(ROW()-1,"000")</x:f>
        <x:v>AI002</x:v>
      </x:c>
      <x:c r="B3" t="s">
        <x:v>45</x:v>
      </x:c>
      <x:c r="C3" t="s">
        <x:v>36</x:v>
      </x:c>
      <x:c r="D3" t="s">
        <x:v>46</x:v>
      </x:c>
      <x:c r="E3" t="s">
        <x:v>47</x:v>
      </x:c>
      <x:c r="F3" t="s">
        <x:v>48</x:v>
      </x:c>
      <x:c r="G3" t="s">
        <x:v>40</x:v>
      </x:c>
      <x:c r="H3" t="s">
        <x:v>49</x:v>
      </x:c>
      <x:c r="I3" t="s">
        <x:v>50</x:v>
      </x:c>
      <x:c r="J3" t="s">
        <x:v>42</x:v>
      </x:c>
      <x:c r="K3" t="s">
        <x:v>43</x:v>
      </x:c>
      <x:c r="L3" t="s">
        <x:v>51</x:v>
      </x:c>
      <x:c r="M3" s="2">
        <x:v>45367</x:v>
      </x:c>
      <x:c r="N3" s="2">
        <x:v>46186</x:v>
      </x:c>
    </x:row>
    <x:row r="4">
      <x:c r="A4" t="str">
        <x:f t="shared" si="0"/>
        <x:v>AI003</x:v>
      </x:c>
      <x:c r="B4" t="s">
        <x:v>52</x:v>
      </x:c>
      <x:c r="C4" t="s">
        <x:v>53</x:v>
      </x:c>
      <x:c r="D4" t="s">
        <x:v>54</x:v>
      </x:c>
      <x:c r="E4" t="s">
        <x:v>55</x:v>
      </x:c>
      <x:c r="F4" t="s">
        <x:v>39</x:v>
      </x:c>
      <x:c r="G4" t="s">
        <x:v>56</x:v>
      </x:c>
      <x:c r="H4" t="s">
        <x:v>49</x:v>
      </x:c>
      <x:c r="I4" t="s">
        <x:v>41</x:v>
      </x:c>
      <x:c r="J4" t="s">
        <x:v>42</x:v>
      </x:c>
      <x:c r="K4" t="s">
        <x:v>43</x:v>
      </x:c>
      <x:c r="L4" t="s">
        <x:v>57</x:v>
      </x:c>
      <x:c r="M4" s="2">
        <x:v>45368</x:v>
      </x:c>
      <x:c r="N4" s="2">
        <x:v>46187</x:v>
      </x:c>
    </x:row>
    <x:row r="5">
      <x:c r="A5" t="str">
        <x:f t="shared" si="0"/>
        <x:v>AI004</x:v>
      </x:c>
      <x:c r="B5" t="s">
        <x:v>58</x:v>
      </x:c>
      <x:c r="C5" t="s">
        <x:v>53</x:v>
      </x:c>
      <x:c r="D5" t="s">
        <x:v>46</x:v>
      </x:c>
      <x:c r="E5" t="s">
        <x:v>59</x:v>
      </x:c>
      <x:c r="F5" t="s">
        <x:v>48</x:v>
      </x:c>
      <x:c r="G5" t="s">
        <x:v>60</x:v>
      </x:c>
      <x:c r="H5" t="s">
        <x:v>49</x:v>
      </x:c>
      <x:c r="I5" t="s">
        <x:v>41</x:v>
      </x:c>
      <x:c r="J5" t="s">
        <x:v>42</x:v>
      </x:c>
      <x:c r="K5" t="s">
        <x:v>43</x:v>
      </x:c>
      <x:c r="L5" t="s">
        <x:v>61</x:v>
      </x:c>
      <x:c r="M5" s="2">
        <x:v>45369</x:v>
      </x:c>
      <x:c r="N5" s="2">
        <x:v>46188</x:v>
      </x:c>
    </x:row>
    <x:row r="6">
      <x:c r="A6" t="str">
        <x:f t="shared" si="0"/>
        <x:v>AI005</x:v>
      </x:c>
      <x:c r="B6" t="s">
        <x:v>62</x:v>
      </x:c>
      <x:c r="C6" t="s">
        <x:v>63</x:v>
      </x:c>
      <x:c r="D6" t="s">
        <x:v>64</x:v>
      </x:c>
      <x:c r="E6" t="s">
        <x:v>65</x:v>
      </x:c>
      <x:c r="F6" t="s">
        <x:v>39</x:v>
      </x:c>
      <x:c r="G6" t="s">
        <x:v>60</x:v>
      </x:c>
      <x:c r="H6" t="s">
        <x:v>66</x:v>
      </x:c>
      <x:c r="I6" t="s">
        <x:v>41</x:v>
      </x:c>
      <x:c r="J6" t="s">
        <x:v>42</x:v>
      </x:c>
      <x:c r="K6" t="s">
        <x:v>43</x:v>
      </x:c>
      <x:c r="L6" t="s">
        <x:v>67</x:v>
      </x:c>
      <x:c r="M6" s="2">
        <x:v>45370</x:v>
      </x:c>
      <x:c r="N6" s="2">
        <x:v>46189</x:v>
      </x:c>
    </x:row>
    <x:row r="7">
      <x:c r="A7" t="str">
        <x:f t="shared" si="0"/>
        <x:v>AI006</x:v>
      </x:c>
      <x:c r="B7" t="s">
        <x:v>68</x:v>
      </x:c>
      <x:c r="C7" t="s">
        <x:v>69</x:v>
      </x:c>
      <x:c r="D7" t="s">
        <x:v>54</x:v>
      </x:c>
      <x:c r="E7" t="s">
        <x:v>70</x:v>
      </x:c>
      <x:c r="F7" t="s">
        <x:v>48</x:v>
      </x:c>
      <x:c r="G7" t="s">
        <x:v>40</x:v>
      </x:c>
      <x:c r="H7" t="s">
        <x:v>49</x:v>
      </x:c>
      <x:c r="I7" t="s">
        <x:v>50</x:v>
      </x:c>
      <x:c r="J7" t="s">
        <x:v>42</x:v>
      </x:c>
      <x:c r="K7" t="s">
        <x:v>43</x:v>
      </x:c>
      <x:c r="L7" t="s">
        <x:v>71</x:v>
      </x:c>
      <x:c r="M7" s="2">
        <x:v>45371</x:v>
      </x:c>
      <x:c r="N7" s="2">
        <x:v>46190</x:v>
      </x:c>
    </x:row>
    <x:row r="8">
      <x:c r="A8" t="str">
        <x:f t="shared" si="0"/>
        <x:v>AI007</x:v>
      </x:c>
      <x:c r="B8" t="s">
        <x:v>72</x:v>
      </x:c>
      <x:c r="C8" t="s">
        <x:v>69</x:v>
      </x:c>
      <x:c r="D8" t="s">
        <x:v>37</x:v>
      </x:c>
      <x:c r="E8" t="s">
        <x:v>73</x:v>
      </x:c>
      <x:c r="F8" t="s">
        <x:v>39</x:v>
      </x:c>
      <x:c r="G8" t="s">
        <x:v>40</x:v>
      </x:c>
      <x:c r="H8" t="s">
        <x:v>49</x:v>
      </x:c>
      <x:c r="I8" t="s">
        <x:v>41</x:v>
      </x:c>
      <x:c r="J8" t="s">
        <x:v>42</x:v>
      </x:c>
      <x:c r="K8" t="s">
        <x:v>43</x:v>
      </x:c>
      <x:c r="L8" t="s">
        <x:v>74</x:v>
      </x:c>
      <x:c r="M8" s="2">
        <x:v>45372</x:v>
      </x:c>
      <x:c r="N8" s="2">
        <x:v>46191</x:v>
      </x:c>
    </x:row>
    <x:row r="9">
      <x:c r="A9" t="str">
        <x:f t="shared" si="0"/>
        <x:v>AI008</x:v>
      </x:c>
      <x:c r="B9" t="s">
        <x:v>75</x:v>
      </x:c>
      <x:c r="C9" t="s">
        <x:v>76</x:v>
      </x:c>
      <x:c r="D9" t="s">
        <x:v>77</x:v>
      </x:c>
      <x:c r="E9" t="s">
        <x:v>78</x:v>
      </x:c>
      <x:c r="F9" t="s">
        <x:v>39</x:v>
      </x:c>
      <x:c r="G9" t="s">
        <x:v>40</x:v>
      </x:c>
      <x:c r="H9" t="s">
        <x:v>41</x:v>
      </x:c>
      <x:c r="I9" t="s">
        <x:v>41</x:v>
      </x:c>
      <x:c r="J9" t="s">
        <x:v>42</x:v>
      </x:c>
      <x:c r="K9" t="s">
        <x:v>43</x:v>
      </x:c>
      <x:c r="L9" t="s">
        <x:v>79</x:v>
      </x:c>
      <x:c r="M9" s="2">
        <x:v>45373</x:v>
      </x:c>
      <x:c r="N9" s="2">
        <x:v>46192</x:v>
      </x:c>
    </x:row>
    <x:row r="10">
      <x:c r="A10" t="str">
        <x:f t="shared" si="0"/>
        <x:v>AI009</x:v>
      </x:c>
      <x:c r="B10" t="s">
        <x:v>80</x:v>
      </x:c>
      <x:c r="C10" t="s">
        <x:v>81</x:v>
      </x:c>
      <x:c r="D10" t="s">
        <x:v>82</x:v>
      </x:c>
      <x:c r="E10" t="s">
        <x:v>83</x:v>
      </x:c>
      <x:c r="F10" t="s">
        <x:v>39</x:v>
      </x:c>
      <x:c r="G10" t="s">
        <x:v>40</x:v>
      </x:c>
      <x:c r="H10" t="s">
        <x:v>41</x:v>
      </x:c>
      <x:c r="I10" t="s">
        <x:v>50</x:v>
      </x:c>
      <x:c r="J10" t="s">
        <x:v>84</x:v>
      </x:c>
      <x:c r="K10" t="s">
        <x:v>43</x:v>
      </x:c>
      <x:c r="L10" t="s">
        <x:v>85</x:v>
      </x:c>
      <x:c r="M10" s="2">
        <x:v>45374</x:v>
      </x:c>
      <x:c r="N10" s="2">
        <x:v>46193</x:v>
      </x:c>
    </x:row>
    <x:row r="11">
      <x:c r="A11" t="str">
        <x:f t="shared" si="0"/>
        <x:v>AI010</x:v>
      </x:c>
      <x:c r="B11" t="s">
        <x:v>86</x:v>
      </x:c>
      <x:c r="C11" t="s">
        <x:v>87</x:v>
      </x:c>
      <x:c r="D11" t="s">
        <x:v>82</x:v>
      </x:c>
      <x:c r="E11" t="s">
        <x:v>88</x:v>
      </x:c>
      <x:c r="F11" t="s">
        <x:v>39</x:v>
      </x:c>
      <x:c r="G11" t="s">
        <x:v>40</x:v>
      </x:c>
      <x:c r="H11" t="s">
        <x:v>89</x:v>
      </x:c>
      <x:c r="I11" t="s">
        <x:v>50</x:v>
      </x:c>
      <x:c r="J11" t="s">
        <x:v>84</x:v>
      </x:c>
      <x:c r="K11" t="s">
        <x:v>43</x:v>
      </x:c>
      <x:c r="L11" t="s">
        <x:v>90</x:v>
      </x:c>
      <x:c r="M11" s="2">
        <x:v>45375</x:v>
      </x:c>
      <x:c r="N11" s="2">
        <x:v>46194</x:v>
      </x:c>
    </x:row>
    <x:row r="12">
      <x:c r="A12" t="str">
        <x:f t="shared" si="0"/>
        <x:v>AI011</x:v>
      </x:c>
      <x:c r="B12" t="s">
        <x:v>91</x:v>
      </x:c>
      <x:c r="C12" t="s">
        <x:v>81</x:v>
      </x:c>
      <x:c r="D12" t="s">
        <x:v>92</x:v>
      </x:c>
      <x:c r="E12" t="s">
        <x:v>93</x:v>
      </x:c>
      <x:c r="F12" t="s">
        <x:v>39</x:v>
      </x:c>
      <x:c r="G12" t="s">
        <x:v>40</x:v>
      </x:c>
      <x:c r="H12" t="s">
        <x:v>49</x:v>
      </x:c>
      <x:c r="I12" t="s">
        <x:v>50</x:v>
      </x:c>
      <x:c r="J12" t="s">
        <x:v>42</x:v>
      </x:c>
      <x:c r="K12" t="s">
        <x:v>43</x:v>
      </x:c>
      <x:c r="L12" t="s">
        <x:v>94</x:v>
      </x:c>
      <x:c r="M12" s="2">
        <x:v>45376</x:v>
      </x:c>
      <x:c r="N12" s="2">
        <x:v>46195</x:v>
      </x:c>
    </x:row>
    <x:row r="13">
      <x:c r="A13" t="str">
        <x:f t="shared" si="0"/>
        <x:v>AI012</x:v>
      </x:c>
      <x:c r="B13" t="s">
        <x:v>95</x:v>
      </x:c>
      <x:c r="C13" t="s">
        <x:v>81</x:v>
      </x:c>
      <x:c r="D13" t="s">
        <x:v>54</x:v>
      </x:c>
      <x:c r="E13" t="s">
        <x:v>96</x:v>
      </x:c>
      <x:c r="F13" t="s">
        <x:v>48</x:v>
      </x:c>
      <x:c r="G13" t="s">
        <x:v>40</x:v>
      </x:c>
      <x:c r="H13" t="s">
        <x:v>49</x:v>
      </x:c>
      <x:c r="I13" t="s">
        <x:v>50</x:v>
      </x:c>
      <x:c r="J13" t="s">
        <x:v>42</x:v>
      </x:c>
      <x:c r="K13" t="s">
        <x:v>43</x:v>
      </x:c>
      <x:c r="L13" t="s">
        <x:v>85</x:v>
      </x:c>
      <x:c r="M13" s="2">
        <x:v>45377</x:v>
      </x:c>
      <x:c r="N13" s="2">
        <x:v>46196</x:v>
      </x:c>
    </x:row>
    <x:row r="14">
      <x:c r="A14" t="str">
        <x:f t="shared" si="0"/>
        <x:v>AI013</x:v>
      </x:c>
      <x:c r="B14" t="s">
        <x:v>97</x:v>
      </x:c>
      <x:c r="C14" t="s">
        <x:v>87</x:v>
      </x:c>
      <x:c r="D14" t="s">
        <x:v>77</x:v>
      </x:c>
      <x:c r="E14" t="s">
        <x:v>98</x:v>
      </x:c>
      <x:c r="F14" t="s">
        <x:v>39</x:v>
      </x:c>
      <x:c r="G14" t="s">
        <x:v>56</x:v>
      </x:c>
      <x:c r="H14" t="s">
        <x:v>89</x:v>
      </x:c>
      <x:c r="I14" t="s">
        <x:v>41</x:v>
      </x:c>
      <x:c r="J14" t="s">
        <x:v>42</x:v>
      </x:c>
      <x:c r="K14" t="s">
        <x:v>43</x:v>
      </x:c>
      <x:c r="L14" t="s">
        <x:v>99</x:v>
      </x:c>
      <x:c r="M14" s="2">
        <x:v>45378</x:v>
      </x:c>
      <x:c r="N14" s="2">
        <x:v>46197</x:v>
      </x:c>
    </x:row>
    <x:row r="15">
      <x:c r="A15" t="str">
        <x:f t="shared" si="0"/>
        <x:v>AI014</x:v>
      </x:c>
      <x:c r="B15" t="s">
        <x:v>100</x:v>
      </x:c>
      <x:c r="C15" t="s">
        <x:v>87</x:v>
      </x:c>
      <x:c r="D15" t="s">
        <x:v>82</x:v>
      </x:c>
      <x:c r="E15" t="s">
        <x:v>101</x:v>
      </x:c>
      <x:c r="F15" t="s">
        <x:v>39</x:v>
      </x:c>
      <x:c r="G15" t="s">
        <x:v>40</x:v>
      </x:c>
      <x:c r="H15" t="s">
        <x:v>41</x:v>
      </x:c>
      <x:c r="I15" t="s">
        <x:v>50</x:v>
      </x:c>
      <x:c r="J15" t="s">
        <x:v>84</x:v>
      </x:c>
      <x:c r="K15" t="s">
        <x:v>43</x:v>
      </x:c>
      <x:c r="L15" t="s">
        <x:v>102</x:v>
      </x:c>
      <x:c r="M15" s="2">
        <x:v>45379</x:v>
      </x:c>
      <x:c r="N15" s="2">
        <x:v>46198</x:v>
      </x:c>
    </x:row>
    <x:row r="16">
      <x:c r="A16" t="str">
        <x:f t="shared" si="0"/>
        <x:v>AI015</x:v>
      </x:c>
      <x:c r="B16" t="s">
        <x:v>103</x:v>
      </x:c>
      <x:c r="C16" t="s">
        <x:v>87</x:v>
      </x:c>
      <x:c r="D16" t="s">
        <x:v>37</x:v>
      </x:c>
      <x:c r="E16" t="s">
        <x:v>104</x:v>
      </x:c>
      <x:c r="F16" t="s">
        <x:v>48</x:v>
      </x:c>
      <x:c r="G16" t="s">
        <x:v>60</x:v>
      </x:c>
      <x:c r="H16" t="s">
        <x:v>89</x:v>
      </x:c>
      <x:c r="I16" t="s">
        <x:v>41</x:v>
      </x:c>
      <x:c r="J16" t="s">
        <x:v>42</x:v>
      </x:c>
      <x:c r="K16" t="s">
        <x:v>43</x:v>
      </x:c>
      <x:c r="L16" t="s">
        <x:v>105</x:v>
      </x:c>
      <x:c r="M16" s="2">
        <x:v>45380</x:v>
      </x:c>
      <x:c r="N16" s="2">
        <x:v>46199</x:v>
      </x:c>
    </x:row>
    <x:row r="17">
      <x:c r="A17" t="str">
        <x:f t="shared" si="0"/>
        <x:v>AI016</x:v>
      </x:c>
      <x:c r="B17" t="s">
        <x:v>106</x:v>
      </x:c>
      <x:c r="C17" t="s">
        <x:v>63</x:v>
      </x:c>
      <x:c r="D17" t="s">
        <x:v>37</x:v>
      </x:c>
      <x:c r="E17" t="s">
        <x:v>107</x:v>
      </x:c>
      <x:c r="F17" t="s">
        <x:v>48</x:v>
      </x:c>
      <x:c r="G17" t="s">
        <x:v>40</x:v>
      </x:c>
      <x:c r="H17" t="s">
        <x:v>49</x:v>
      </x:c>
      <x:c r="I17" t="s">
        <x:v>50</x:v>
      </x:c>
      <x:c r="J17" t="s">
        <x:v>42</x:v>
      </x:c>
      <x:c r="K17" t="s">
        <x:v>43</x:v>
      </x:c>
      <x:c r="L17" t="s">
        <x:v>108</x:v>
      </x:c>
      <x:c r="M17" s="2">
        <x:v>45381</x:v>
      </x:c>
      <x:c r="N17" s="2">
        <x:v>46200</x:v>
      </x:c>
    </x:row>
    <x:row r="18">
      <x:c r="A18" t="str">
        <x:f t="shared" si="0"/>
        <x:v>AI017</x:v>
      </x:c>
      <x:c r="B18" t="s">
        <x:v>109</x:v>
      </x:c>
      <x:c r="C18" t="s">
        <x:v>63</x:v>
      </x:c>
      <x:c r="D18" t="s">
        <x:v>54</x:v>
      </x:c>
      <x:c r="E18" t="s">
        <x:v>110</x:v>
      </x:c>
      <x:c r="F18" t="s">
        <x:v>48</x:v>
      </x:c>
      <x:c r="G18" t="s">
        <x:v>60</x:v>
      </x:c>
      <x:c r="H18" t="s">
        <x:v>49</x:v>
      </x:c>
      <x:c r="I18" t="s">
        <x:v>41</x:v>
      </x:c>
      <x:c r="J18" t="s">
        <x:v>42</x:v>
      </x:c>
      <x:c r="K18" t="s">
        <x:v>43</x:v>
      </x:c>
      <x:c r="L18" t="s">
        <x:v>111</x:v>
      </x:c>
      <x:c r="M18" s="2">
        <x:v>45382</x:v>
      </x:c>
      <x:c r="N18" s="2">
        <x:v>46201</x:v>
      </x:c>
    </x:row>
    <x:row r="19">
      <x:c r="A19" t="str">
        <x:f t="shared" si="0"/>
        <x:v>AI018</x:v>
      </x:c>
      <x:c r="B19" t="s">
        <x:v>112</x:v>
      </x:c>
      <x:c r="C19" t="s">
        <x:v>63</x:v>
      </x:c>
      <x:c r="D19" t="s">
        <x:v>82</x:v>
      </x:c>
      <x:c r="E19" t="s">
        <x:v>113</x:v>
      </x:c>
      <x:c r="F19" t="s">
        <x:v>48</x:v>
      </x:c>
      <x:c r="G19" t="s">
        <x:v>56</x:v>
      </x:c>
      <x:c r="H19" t="s">
        <x:v>49</x:v>
      </x:c>
      <x:c r="I19" t="s">
        <x:v>41</x:v>
      </x:c>
      <x:c r="J19" t="s">
        <x:v>42</x:v>
      </x:c>
      <x:c r="K19" t="s">
        <x:v>43</x:v>
      </x:c>
      <x:c r="L19" t="s">
        <x:v>114</x:v>
      </x:c>
      <x:c r="M19" s="2">
        <x:v>45383</x:v>
      </x:c>
      <x:c r="N19" s="2">
        <x:v>46202</x:v>
      </x:c>
    </x:row>
    <x:row r="20">
      <x:c r="A20" t="str">
        <x:f t="shared" si="0"/>
        <x:v>AI019</x:v>
      </x:c>
      <x:c r="B20" t="s">
        <x:v>115</x:v>
      </x:c>
      <x:c r="C20" t="s">
        <x:v>116</x:v>
      </x:c>
      <x:c r="D20" t="s">
        <x:v>82</x:v>
      </x:c>
      <x:c r="E20" t="s">
        <x:v>117</x:v>
      </x:c>
      <x:c r="F20" t="s">
        <x:v>39</x:v>
      </x:c>
      <x:c r="G20" t="s">
        <x:v>40</x:v>
      </x:c>
      <x:c r="H20" t="s">
        <x:v>49</x:v>
      </x:c>
      <x:c r="I20" t="s">
        <x:v>66</x:v>
      </x:c>
      <x:c r="J20" t="s">
        <x:v>42</x:v>
      </x:c>
      <x:c r="K20" t="s">
        <x:v>43</x:v>
      </x:c>
      <x:c r="L20" t="s">
        <x:v>118</x:v>
      </x:c>
      <x:c r="M20" s="2">
        <x:v>45384</x:v>
      </x:c>
      <x:c r="N20" s="2">
        <x:v>46203</x:v>
      </x:c>
    </x:row>
    <x:row r="21">
      <x:c r="A21" t="str">
        <x:f t="shared" si="0"/>
        <x:v>AI020</x:v>
      </x:c>
      <x:c r="B21" t="s">
        <x:v>119</x:v>
      </x:c>
      <x:c r="C21" t="s">
        <x:v>116</x:v>
      </x:c>
      <x:c r="D21" t="s">
        <x:v>37</x:v>
      </x:c>
      <x:c r="E21" t="s">
        <x:v>120</x:v>
      </x:c>
      <x:c r="F21" t="s">
        <x:v>48</x:v>
      </x:c>
      <x:c r="G21" t="s">
        <x:v>40</x:v>
      </x:c>
      <x:c r="H21" t="s">
        <x:v>41</x:v>
      </x:c>
      <x:c r="I21" t="s">
        <x:v>50</x:v>
      </x:c>
      <x:c r="J21" t="s">
        <x:v>42</x:v>
      </x:c>
      <x:c r="K21" t="s">
        <x:v>43</x:v>
      </x:c>
      <x:c r="L21" t="s">
        <x:v>121</x:v>
      </x:c>
      <x:c r="M21" s="2">
        <x:v>45385</x:v>
      </x:c>
      <x:c r="N21" s="2">
        <x:v>46204</x:v>
      </x:c>
    </x:row>
    <x:row r="22">
      <x:c r="A22" t="str">
        <x:f t="shared" si="0"/>
        <x:v>AI021</x:v>
      </x:c>
      <x:c r="B22" t="s">
        <x:v>122</x:v>
      </x:c>
      <x:c r="C22" t="s">
        <x:v>116</x:v>
      </x:c>
      <x:c r="D22" t="s">
        <x:v>123</x:v>
      </x:c>
      <x:c r="E22" t="s">
        <x:v>124</x:v>
      </x:c>
      <x:c r="F22" t="s">
        <x:v>39</x:v>
      </x:c>
      <x:c r="G22" t="s">
        <x:v>40</x:v>
      </x:c>
      <x:c r="H22" t="s">
        <x:v>41</x:v>
      </x:c>
      <x:c r="I22" t="s">
        <x:v>50</x:v>
      </x:c>
      <x:c r="J22" t="s">
        <x:v>84</x:v>
      </x:c>
      <x:c r="K22" t="s">
        <x:v>43</x:v>
      </x:c>
      <x:c r="L22" t="s">
        <x:v>125</x:v>
      </x:c>
      <x:c r="M22" s="2">
        <x:v>45386</x:v>
      </x:c>
      <x:c r="N22" s="2">
        <x:v>46205</x:v>
      </x:c>
    </x:row>
    <x:row r="23">
      <x:c r="A23" t="str">
        <x:f t="shared" si="0"/>
        <x:v>AI022</x:v>
      </x:c>
      <x:c r="B23" t="s">
        <x:v>126</x:v>
      </x:c>
      <x:c r="C23" t="s">
        <x:v>116</x:v>
      </x:c>
      <x:c r="D23" t="s">
        <x:v>46</x:v>
      </x:c>
      <x:c r="E23" t="s">
        <x:v>127</x:v>
      </x:c>
      <x:c r="F23" t="s">
        <x:v>48</x:v>
      </x:c>
      <x:c r="G23" t="s">
        <x:v>40</x:v>
      </x:c>
      <x:c r="H23" t="s">
        <x:v>49</x:v>
      </x:c>
      <x:c r="I23" t="s">
        <x:v>41</x:v>
      </x:c>
      <x:c r="J23" t="s">
        <x:v>42</x:v>
      </x:c>
      <x:c r="K23" t="s">
        <x:v>43</x:v>
      </x:c>
      <x:c r="L23" t="s">
        <x:v>128</x:v>
      </x:c>
      <x:c r="M23" s="2">
        <x:v>45387</x:v>
      </x:c>
      <x:c r="N23" s="2">
        <x:v>46206</x:v>
      </x:c>
    </x:row>
    <x:row r="24">
      <x:c r="A24" t="str">
        <x:f t="shared" si="0"/>
        <x:v>AI023</x:v>
      </x:c>
      <x:c r="B24" t="s">
        <x:v>129</x:v>
      </x:c>
      <x:c r="C24" t="s">
        <x:v>130</x:v>
      </x:c>
      <x:c r="D24" t="s">
        <x:v>82</x:v>
      </x:c>
      <x:c r="E24" t="s">
        <x:v>131</x:v>
      </x:c>
      <x:c r="F24" t="s">
        <x:v>39</x:v>
      </x:c>
      <x:c r="G24" t="s">
        <x:v>40</x:v>
      </x:c>
      <x:c r="H24" t="s">
        <x:v>89</x:v>
      </x:c>
      <x:c r="I24" t="s">
        <x:v>41</x:v>
      </x:c>
      <x:c r="J24" t="s">
        <x:v>42</x:v>
      </x:c>
      <x:c r="K24" t="s">
        <x:v>43</x:v>
      </x:c>
      <x:c r="L24" t="s">
        <x:v>132</x:v>
      </x:c>
      <x:c r="M24" s="2">
        <x:v>45388</x:v>
      </x:c>
      <x:c r="N24" s="2">
        <x:v>46207</x:v>
      </x:c>
    </x:row>
    <x:row r="25">
      <x:c r="A25" t="str">
        <x:f t="shared" si="0"/>
        <x:v>AI024</x:v>
      </x:c>
      <x:c r="B25" t="s">
        <x:v>133</x:v>
      </x:c>
      <x:c r="C25" t="s">
        <x:v>130</x:v>
      </x:c>
      <x:c r="D25" t="s">
        <x:v>54</x:v>
      </x:c>
      <x:c r="E25" t="s">
        <x:v>134</x:v>
      </x:c>
      <x:c r="F25" t="s">
        <x:v>48</x:v>
      </x:c>
      <x:c r="G25" t="s">
        <x:v>60</x:v>
      </x:c>
      <x:c r="H25" t="s">
        <x:v>49</x:v>
      </x:c>
      <x:c r="I25" t="s">
        <x:v>41</x:v>
      </x:c>
      <x:c r="J25" t="s">
        <x:v>42</x:v>
      </x:c>
      <x:c r="K25" t="s">
        <x:v>43</x:v>
      </x:c>
      <x:c r="L25" t="s">
        <x:v>135</x:v>
      </x:c>
      <x:c r="M25" s="2">
        <x:v>45389</x:v>
      </x:c>
      <x:c r="N25" s="2">
        <x:v>46208</x:v>
      </x:c>
    </x:row>
    <x:row r="26">
      <x:c r="A26" t="str">
        <x:f t="shared" si="0"/>
        <x:v>AI025</x:v>
      </x:c>
      <x:c r="B26" t="s">
        <x:v>136</x:v>
      </x:c>
      <x:c r="C26" t="s">
        <x:v>130</x:v>
      </x:c>
      <x:c r="D26" t="s">
        <x:v>64</x:v>
      </x:c>
      <x:c r="E26" t="s">
        <x:v>137</x:v>
      </x:c>
      <x:c r="F26" t="s">
        <x:v>48</x:v>
      </x:c>
      <x:c r="G26" t="s">
        <x:v>60</x:v>
      </x:c>
      <x:c r="H26" t="s">
        <x:v>89</x:v>
      </x:c>
      <x:c r="I26" t="s">
        <x:v>41</x:v>
      </x:c>
      <x:c r="J26" t="s">
        <x:v>42</x:v>
      </x:c>
      <x:c r="K26" t="s">
        <x:v>43</x:v>
      </x:c>
      <x:c r="L26" t="s">
        <x:v>138</x:v>
      </x:c>
      <x:c r="M26" s="2">
        <x:v>45390</x:v>
      </x:c>
      <x:c r="N26" s="2">
        <x:v>46209</x:v>
      </x:c>
    </x:row>
    <x:row r="27">
      <x:c r="A27" t="str">
        <x:f t="shared" si="0"/>
        <x:v>AI026</x:v>
      </x:c>
      <x:c r="B27" t="s">
        <x:v>139</x:v>
      </x:c>
      <x:c r="C27" t="s">
        <x:v>53</x:v>
      </x:c>
      <x:c r="D27" t="s">
        <x:v>46</x:v>
      </x:c>
      <x:c r="E27" t="s">
        <x:v>140</x:v>
      </x:c>
      <x:c r="F27" t="s">
        <x:v>48</x:v>
      </x:c>
      <x:c r="G27" t="s">
        <x:v>60</x:v>
      </x:c>
      <x:c r="H27" t="s">
        <x:v>66</x:v>
      </x:c>
      <x:c r="I27" t="s">
        <x:v>50</x:v>
      </x:c>
      <x:c r="J27" t="s">
        <x:v>42</x:v>
      </x:c>
      <x:c r="K27" t="s">
        <x:v>43</x:v>
      </x:c>
      <x:c r="L27" t="s">
        <x:v>141</x:v>
      </x:c>
      <x:c r="M27" s="2">
        <x:v>45391</x:v>
      </x:c>
      <x:c r="N27" s="2">
        <x:v>46210</x:v>
      </x:c>
    </x:row>
    <x:row r="28">
      <x:c r="A28" t="str">
        <x:f t="shared" si="0"/>
        <x:v>AI027</x:v>
      </x:c>
      <x:c r="B28" t="s">
        <x:v>142</x:v>
      </x:c>
      <x:c r="C28" t="s">
        <x:v>53</x:v>
      </x:c>
      <x:c r="D28" t="s">
        <x:v>54</x:v>
      </x:c>
      <x:c r="E28" t="s">
        <x:v>143</x:v>
      </x:c>
      <x:c r="F28" t="s">
        <x:v>48</x:v>
      </x:c>
      <x:c r="G28" t="s">
        <x:v>56</x:v>
      </x:c>
      <x:c r="H28" t="s">
        <x:v>41</x:v>
      </x:c>
      <x:c r="I28" t="s">
        <x:v>41</x:v>
      </x:c>
      <x:c r="J28" t="s">
        <x:v>42</x:v>
      </x:c>
      <x:c r="K28" t="s">
        <x:v>43</x:v>
      </x:c>
      <x:c r="L28" t="s">
        <x:v>144</x:v>
      </x:c>
      <x:c r="M28" s="2">
        <x:v>45392</x:v>
      </x:c>
      <x:c r="N28" s="2">
        <x:v>46211</x:v>
      </x:c>
    </x:row>
    <x:row r="29">
      <x:c r="A29" t="str">
        <x:f t="shared" si="0"/>
        <x:v>AI028</x:v>
      </x:c>
      <x:c r="B29" t="s">
        <x:v>145</x:v>
      </x:c>
      <x:c r="C29" t="s">
        <x:v>69</x:v>
      </x:c>
      <x:c r="D29" t="s">
        <x:v>46</x:v>
      </x:c>
      <x:c r="E29" t="s">
        <x:v>146</x:v>
      </x:c>
      <x:c r="F29" t="s">
        <x:v>39</x:v>
      </x:c>
      <x:c r="G29" t="s">
        <x:v>40</x:v>
      </x:c>
      <x:c r="H29" t="s">
        <x:v>49</x:v>
      </x:c>
      <x:c r="I29" t="s">
        <x:v>50</x:v>
      </x:c>
      <x:c r="J29" t="s">
        <x:v>42</x:v>
      </x:c>
      <x:c r="K29" t="s">
        <x:v>43</x:v>
      </x:c>
      <x:c r="L29" t="s">
        <x:v>147</x:v>
      </x:c>
      <x:c r="M29" s="2">
        <x:v>45393</x:v>
      </x:c>
      <x:c r="N29" s="2">
        <x:v>46212</x:v>
      </x:c>
    </x:row>
    <x:row r="30">
      <x:c r="A30" t="str">
        <x:f t="shared" si="0"/>
        <x:v>AI029</x:v>
      </x:c>
      <x:c r="B30" t="s">
        <x:v>148</x:v>
      </x:c>
      <x:c r="C30" t="s">
        <x:v>69</x:v>
      </x:c>
      <x:c r="D30" t="s">
        <x:v>54</x:v>
      </x:c>
      <x:c r="E30" t="s">
        <x:v>149</x:v>
      </x:c>
      <x:c r="F30" t="s">
        <x:v>48</x:v>
      </x:c>
      <x:c r="G30" t="s">
        <x:v>40</x:v>
      </x:c>
      <x:c r="H30" t="s">
        <x:v>49</x:v>
      </x:c>
      <x:c r="I30" t="s">
        <x:v>50</x:v>
      </x:c>
      <x:c r="J30" t="s">
        <x:v>42</x:v>
      </x:c>
      <x:c r="K30" t="s">
        <x:v>43</x:v>
      </x:c>
      <x:c r="L30" t="s">
        <x:v>150</x:v>
      </x:c>
      <x:c r="M30" s="2">
        <x:v>45394</x:v>
      </x:c>
      <x:c r="N30" s="2">
        <x:v>46213</x:v>
      </x:c>
    </x:row>
    <x:row r="31">
      <x:c r="A31" t="str">
        <x:f t="shared" si="0"/>
        <x:v>AI030</x:v>
      </x:c>
      <x:c r="B31" t="s">
        <x:v>151</x:v>
      </x:c>
      <x:c r="C31" t="s">
        <x:v>69</x:v>
      </x:c>
      <x:c r="D31" t="s">
        <x:v>82</x:v>
      </x:c>
      <x:c r="E31" t="s">
        <x:v>152</x:v>
      </x:c>
      <x:c r="F31" t="s">
        <x:v>39</x:v>
      </x:c>
      <x:c r="G31" t="s">
        <x:v>40</x:v>
      </x:c>
      <x:c r="H31" t="s">
        <x:v>89</x:v>
      </x:c>
      <x:c r="I31" t="s">
        <x:v>41</x:v>
      </x:c>
      <x:c r="J31" t="s">
        <x:v>42</x:v>
      </x:c>
      <x:c r="K31" t="s">
        <x:v>43</x:v>
      </x:c>
      <x:c r="L31" t="s">
        <x:v>153</x:v>
      </x:c>
      <x:c r="M31" s="2">
        <x:v>45395</x:v>
      </x:c>
      <x:c r="N31" s="2">
        <x:v>46214</x:v>
      </x:c>
    </x:row>
    <x:row r="32">
      <x:c r="A32" t="str">
        <x:f t="shared" si="0"/>
        <x:v>AI031</x:v>
      </x:c>
      <x:c r="B32" t="s">
        <x:v>154</x:v>
      </x:c>
      <x:c r="C32" t="s">
        <x:v>76</x:v>
      </x:c>
      <x:c r="D32" t="s">
        <x:v>54</x:v>
      </x:c>
      <x:c r="E32" t="s">
        <x:v>155</x:v>
      </x:c>
      <x:c r="F32" t="s">
        <x:v>48</x:v>
      </x:c>
      <x:c r="G32" t="s">
        <x:v>40</x:v>
      </x:c>
      <x:c r="H32" t="s">
        <x:v>41</x:v>
      </x:c>
      <x:c r="I32" t="s">
        <x:v>41</x:v>
      </x:c>
      <x:c r="J32" t="s">
        <x:v>42</x:v>
      </x:c>
      <x:c r="K32" t="s">
        <x:v>43</x:v>
      </x:c>
      <x:c r="L32" t="s">
        <x:v>156</x:v>
      </x:c>
      <x:c r="M32" s="2">
        <x:v>45396</x:v>
      </x:c>
      <x:c r="N32" s="2">
        <x:v>46215</x:v>
      </x:c>
    </x:row>
    <x:row r="33">
      <x:c r="A33" t="str">
        <x:f t="shared" si="0"/>
        <x:v>AI032</x:v>
      </x:c>
      <x:c r="B33" t="s">
        <x:v>157</x:v>
      </x:c>
      <x:c r="C33" t="s">
        <x:v>76</x:v>
      </x:c>
      <x:c r="D33" t="s">
        <x:v>77</x:v>
      </x:c>
      <x:c r="E33" t="s">
        <x:v>158</x:v>
      </x:c>
      <x:c r="F33" t="s">
        <x:v>39</x:v>
      </x:c>
      <x:c r="G33" t="s">
        <x:v>40</x:v>
      </x:c>
      <x:c r="H33" t="s">
        <x:v>41</x:v>
      </x:c>
      <x:c r="I33" t="s">
        <x:v>50</x:v>
      </x:c>
      <x:c r="J33" t="s">
        <x:v>42</x:v>
      </x:c>
      <x:c r="K33" t="s">
        <x:v>43</x:v>
      </x:c>
      <x:c r="L33" t="s">
        <x:v>159</x:v>
      </x:c>
      <x:c r="M33" s="2">
        <x:v>45397</x:v>
      </x:c>
      <x:c r="N33" s="2">
        <x:v>46216</x:v>
      </x:c>
    </x:row>
    <x:row r="34">
      <x:c r="A34" t="str">
        <x:f t="shared" si="0"/>
        <x:v>AI033</x:v>
      </x:c>
      <x:c r="B34" t="s">
        <x:v>160</x:v>
      </x:c>
      <x:c r="C34" t="s">
        <x:v>76</x:v>
      </x:c>
      <x:c r="D34" t="s">
        <x:v>37</x:v>
      </x:c>
      <x:c r="E34" t="s">
        <x:v>161</x:v>
      </x:c>
      <x:c r="F34" t="s">
        <x:v>48</x:v>
      </x:c>
      <x:c r="G34" t="s">
        <x:v>60</x:v>
      </x:c>
      <x:c r="H34" t="s">
        <x:v>41</x:v>
      </x:c>
      <x:c r="I34" t="s">
        <x:v>41</x:v>
      </x:c>
      <x:c r="J34" t="s">
        <x:v>42</x:v>
      </x:c>
      <x:c r="K34" t="s">
        <x:v>43</x:v>
      </x:c>
      <x:c r="L34" t="s">
        <x:v>162</x:v>
      </x:c>
      <x:c r="M34" s="2">
        <x:v>45398</x:v>
      </x:c>
      <x:c r="N34" s="2">
        <x:v>46217</x:v>
      </x:c>
    </x:row>
    <x:row r="35">
      <x:c r="A35" t="str">
        <x:f t="shared" si="0"/>
        <x:v>AI034</x:v>
      </x:c>
      <x:c r="B35" t="s">
        <x:v>163</x:v>
      </x:c>
      <x:c r="C35" t="s">
        <x:v>81</x:v>
      </x:c>
      <x:c r="D35" t="s">
        <x:v>82</x:v>
      </x:c>
      <x:c r="E35" t="s">
        <x:v>164</x:v>
      </x:c>
      <x:c r="F35" t="s">
        <x:v>39</x:v>
      </x:c>
      <x:c r="G35" t="s">
        <x:v>40</x:v>
      </x:c>
      <x:c r="H35" t="s">
        <x:v>41</x:v>
      </x:c>
      <x:c r="I35" t="s">
        <x:v>50</x:v>
      </x:c>
      <x:c r="J35" t="s">
        <x:v>42</x:v>
      </x:c>
      <x:c r="K35" t="s">
        <x:v>43</x:v>
      </x:c>
      <x:c r="L35" t="s">
        <x:v>165</x:v>
      </x:c>
      <x:c r="M35" s="2">
        <x:v>45399</x:v>
      </x:c>
      <x:c r="N35" s="2">
        <x:v>46218</x:v>
      </x:c>
    </x:row>
    <x:row r="36">
      <x:c r="A36" t="str">
        <x:f t="shared" si="0"/>
        <x:v>AI035</x:v>
      </x:c>
      <x:c r="B36" t="s">
        <x:v>166</x:v>
      </x:c>
      <x:c r="C36" t="s">
        <x:v>81</x:v>
      </x:c>
      <x:c r="D36" t="s">
        <x:v>92</x:v>
      </x:c>
      <x:c r="E36" t="s">
        <x:v>167</x:v>
      </x:c>
      <x:c r="F36" t="s">
        <x:v>48</x:v>
      </x:c>
      <x:c r="G36" t="s">
        <x:v>40</x:v>
      </x:c>
      <x:c r="H36" t="s">
        <x:v>49</x:v>
      </x:c>
      <x:c r="I36" t="s">
        <x:v>50</x:v>
      </x:c>
      <x:c r="J36" t="s">
        <x:v>84</x:v>
      </x:c>
      <x:c r="K36" t="s">
        <x:v>43</x:v>
      </x:c>
      <x:c r="L36" t="s">
        <x:v>168</x:v>
      </x:c>
      <x:c r="M36" s="2">
        <x:v>45400</x:v>
      </x:c>
      <x:c r="N36" s="2">
        <x:v>46219</x:v>
      </x:c>
    </x:row>
    <x:row r="37">
      <x:c r="A37" t="str">
        <x:f t="shared" si="0"/>
        <x:v>AI036</x:v>
      </x:c>
      <x:c r="B37" t="s">
        <x:v>169</x:v>
      </x:c>
      <x:c r="C37" t="s">
        <x:v>87</x:v>
      </x:c>
      <x:c r="D37" t="s">
        <x:v>82</x:v>
      </x:c>
      <x:c r="E37" t="s">
        <x:v>170</x:v>
      </x:c>
      <x:c r="F37" t="s">
        <x:v>39</x:v>
      </x:c>
      <x:c r="G37" t="s">
        <x:v>40</x:v>
      </x:c>
      <x:c r="H37" t="s">
        <x:v>89</x:v>
      </x:c>
      <x:c r="I37" t="s">
        <x:v>41</x:v>
      </x:c>
      <x:c r="J37" t="s">
        <x:v>42</x:v>
      </x:c>
      <x:c r="K37" t="s">
        <x:v>43</x:v>
      </x:c>
      <x:c r="L37" t="s">
        <x:v>171</x:v>
      </x:c>
      <x:c r="M37" s="2">
        <x:v>45401</x:v>
      </x:c>
      <x:c r="N37" s="2">
        <x:v>46220</x:v>
      </x:c>
    </x:row>
    <x:row r="38">
      <x:c r="A38" t="str">
        <x:f t="shared" si="0"/>
        <x:v>AI037</x:v>
      </x:c>
      <x:c r="B38" t="s">
        <x:v>172</x:v>
      </x:c>
      <x:c r="C38" t="s">
        <x:v>87</x:v>
      </x:c>
      <x:c r="D38" t="s">
        <x:v>37</x:v>
      </x:c>
      <x:c r="E38" t="s">
        <x:v>173</x:v>
      </x:c>
      <x:c r="F38" t="s">
        <x:v>39</x:v>
      </x:c>
      <x:c r="G38" t="s">
        <x:v>40</x:v>
      </x:c>
      <x:c r="H38" t="s">
        <x:v>89</x:v>
      </x:c>
      <x:c r="I38" t="s">
        <x:v>41</x:v>
      </x:c>
      <x:c r="J38" t="s">
        <x:v>84</x:v>
      </x:c>
      <x:c r="K38" t="s">
        <x:v>43</x:v>
      </x:c>
      <x:c r="L38" t="s">
        <x:v>174</x:v>
      </x:c>
      <x:c r="M38" s="2">
        <x:v>45402</x:v>
      </x:c>
      <x:c r="N38" s="2">
        <x:v>46221</x:v>
      </x:c>
    </x:row>
    <x:row r="39">
      <x:c r="A39" t="str">
        <x:f t="shared" si="0"/>
        <x:v>AI038</x:v>
      </x:c>
      <x:c r="B39" t="s">
        <x:v>175</x:v>
      </x:c>
      <x:c r="C39" t="s">
        <x:v>87</x:v>
      </x:c>
      <x:c r="D39" t="s">
        <x:v>92</x:v>
      </x:c>
      <x:c r="E39" t="s">
        <x:v>176</x:v>
      </x:c>
      <x:c r="F39" t="s">
        <x:v>48</x:v>
      </x:c>
      <x:c r="G39" t="s">
        <x:v>56</x:v>
      </x:c>
      <x:c r="H39" t="s">
        <x:v>89</x:v>
      </x:c>
      <x:c r="I39" t="s">
        <x:v>41</x:v>
      </x:c>
      <x:c r="J39" t="s">
        <x:v>42</x:v>
      </x:c>
      <x:c r="K39" t="s">
        <x:v>43</x:v>
      </x:c>
      <x:c r="L39" t="s">
        <x:v>177</x:v>
      </x:c>
      <x:c r="M39" s="2">
        <x:v>45403</x:v>
      </x:c>
      <x:c r="N39" s="2">
        <x:v>46222</x:v>
      </x:c>
    </x:row>
    <x:row r="40">
      <x:c r="A40" t="str">
        <x:f t="shared" si="0"/>
        <x:v>AI039</x:v>
      </x:c>
      <x:c r="B40" t="s">
        <x:v>178</x:v>
      </x:c>
      <x:c r="C40" t="s">
        <x:v>63</x:v>
      </x:c>
      <x:c r="D40" t="s">
        <x:v>54</x:v>
      </x:c>
      <x:c r="E40" t="s">
        <x:v>179</x:v>
      </x:c>
      <x:c r="F40" t="s">
        <x:v>48</x:v>
      </x:c>
      <x:c r="G40" t="s">
        <x:v>60</x:v>
      </x:c>
      <x:c r="H40" t="s">
        <x:v>49</x:v>
      </x:c>
      <x:c r="I40" t="s">
        <x:v>41</x:v>
      </x:c>
      <x:c r="J40" t="s">
        <x:v>42</x:v>
      </x:c>
      <x:c r="K40" t="s">
        <x:v>43</x:v>
      </x:c>
      <x:c r="L40" t="s">
        <x:v>111</x:v>
      </x:c>
      <x:c r="M40" s="2">
        <x:v>45404</x:v>
      </x:c>
      <x:c r="N40" s="2">
        <x:v>46223</x:v>
      </x:c>
    </x:row>
    <x:row r="41">
      <x:c r="A41" t="str">
        <x:f t="shared" si="0"/>
        <x:v>AI040</x:v>
      </x:c>
      <x:c r="B41" t="s">
        <x:v>180</x:v>
      </x:c>
      <x:c r="C41" t="s">
        <x:v>63</x:v>
      </x:c>
      <x:c r="D41" t="s">
        <x:v>37</x:v>
      </x:c>
      <x:c r="E41" t="s">
        <x:v>181</x:v>
      </x:c>
      <x:c r="F41" t="s">
        <x:v>48</x:v>
      </x:c>
      <x:c r="G41" t="s">
        <x:v>40</x:v>
      </x:c>
      <x:c r="H41" t="s">
        <x:v>49</x:v>
      </x:c>
      <x:c r="I41" t="s">
        <x:v>41</x:v>
      </x:c>
      <x:c r="J41" t="s">
        <x:v>42</x:v>
      </x:c>
      <x:c r="K41" t="s">
        <x:v>43</x:v>
      </x:c>
      <x:c r="L41" t="s">
        <x:v>182</x:v>
      </x:c>
      <x:c r="M41" s="2">
        <x:v>45405</x:v>
      </x:c>
      <x:c r="N41" s="2">
        <x:v>46224</x:v>
      </x:c>
    </x:row>
    <x:row r="42">
      <x:c r="A42" t="str">
        <x:f t="shared" si="0"/>
        <x:v>AI041</x:v>
      </x:c>
      <x:c r="B42" t="s">
        <x:v>183</x:v>
      </x:c>
      <x:c r="C42" t="s">
        <x:v>116</x:v>
      </x:c>
      <x:c r="D42" t="s">
        <x:v>54</x:v>
      </x:c>
      <x:c r="E42" t="s">
        <x:v>184</x:v>
      </x:c>
      <x:c r="F42" t="s">
        <x:v>39</x:v>
      </x:c>
      <x:c r="G42" t="s">
        <x:v>40</x:v>
      </x:c>
      <x:c r="H42" t="s">
        <x:v>49</x:v>
      </x:c>
      <x:c r="I42" t="s">
        <x:v>66</x:v>
      </x:c>
      <x:c r="J42" t="s">
        <x:v>42</x:v>
      </x:c>
      <x:c r="K42" t="s">
        <x:v>43</x:v>
      </x:c>
      <x:c r="L42" t="s">
        <x:v>121</x:v>
      </x:c>
      <x:c r="M42" s="2">
        <x:v>45406</x:v>
      </x:c>
      <x:c r="N42" s="2">
        <x:v>46225</x:v>
      </x:c>
    </x:row>
    <x:row r="43">
      <x:c r="A43" t="str">
        <x:f t="shared" si="0"/>
        <x:v>AI042</x:v>
      </x:c>
      <x:c r="B43" t="s">
        <x:v>185</x:v>
      </x:c>
      <x:c r="C43" t="s">
        <x:v>116</x:v>
      </x:c>
      <x:c r="D43" t="s">
        <x:v>37</x:v>
      </x:c>
      <x:c r="E43" t="s">
        <x:v>186</x:v>
      </x:c>
      <x:c r="F43" t="s">
        <x:v>48</x:v>
      </x:c>
      <x:c r="G43" t="s">
        <x:v>40</x:v>
      </x:c>
      <x:c r="H43" t="s">
        <x:v>41</x:v>
      </x:c>
      <x:c r="I43" t="s">
        <x:v>50</x:v>
      </x:c>
      <x:c r="J43" t="s">
        <x:v>42</x:v>
      </x:c>
      <x:c r="K43" t="s">
        <x:v>43</x:v>
      </x:c>
      <x:c r="L43" t="s">
        <x:v>187</x:v>
      </x:c>
      <x:c r="M43" s="2">
        <x:v>45407</x:v>
      </x:c>
      <x:c r="N43" s="2">
        <x:v>46226</x:v>
      </x:c>
    </x:row>
    <x:row r="44">
      <x:c r="A44" t="str">
        <x:f t="shared" si="0"/>
        <x:v>AI043</x:v>
      </x:c>
      <x:c r="B44" t="s">
        <x:v>188</x:v>
      </x:c>
      <x:c r="C44" t="s">
        <x:v>116</x:v>
      </x:c>
      <x:c r="D44" t="s">
        <x:v>92</x:v>
      </x:c>
      <x:c r="E44" t="s">
        <x:v>189</x:v>
      </x:c>
      <x:c r="F44" t="s">
        <x:v>39</x:v>
      </x:c>
      <x:c r="G44" t="s">
        <x:v>40</x:v>
      </x:c>
      <x:c r="H44" t="s">
        <x:v>66</x:v>
      </x:c>
      <x:c r="I44" t="s">
        <x:v>66</x:v>
      </x:c>
      <x:c r="J44" t="s">
        <x:v>84</x:v>
      </x:c>
      <x:c r="K44" t="s">
        <x:v>43</x:v>
      </x:c>
      <x:c r="L44" t="s">
        <x:v>190</x:v>
      </x:c>
      <x:c r="M44" s="2">
        <x:v>45408</x:v>
      </x:c>
      <x:c r="N44" s="2">
        <x:v>46227</x:v>
      </x:c>
    </x:row>
    <x:row r="45">
      <x:c r="A45" t="str">
        <x:f t="shared" si="0"/>
        <x:v>AI044</x:v>
      </x:c>
      <x:c r="B45" t="s">
        <x:v>191</x:v>
      </x:c>
      <x:c r="C45" t="s">
        <x:v>130</x:v>
      </x:c>
      <x:c r="D45" t="s">
        <x:v>46</x:v>
      </x:c>
      <x:c r="E45" t="s">
        <x:v>192</x:v>
      </x:c>
      <x:c r="F45" t="s">
        <x:v>48</x:v>
      </x:c>
      <x:c r="G45" t="s">
        <x:v>60</x:v>
      </x:c>
      <x:c r="H45" t="s">
        <x:v>49</x:v>
      </x:c>
      <x:c r="I45" t="s">
        <x:v>41</x:v>
      </x:c>
      <x:c r="J45" t="s">
        <x:v>42</x:v>
      </x:c>
      <x:c r="K45" t="s">
        <x:v>43</x:v>
      </x:c>
      <x:c r="L45" t="s">
        <x:v>135</x:v>
      </x:c>
      <x:c r="M45" s="2">
        <x:v>45409</x:v>
      </x:c>
      <x:c r="N45" s="2">
        <x:v>46228</x:v>
      </x:c>
    </x:row>
    <x:row r="46">
      <x:c r="A46" t="str">
        <x:f t="shared" si="0"/>
        <x:v>AI045</x:v>
      </x:c>
      <x:c r="B46" t="s">
        <x:v>193</x:v>
      </x:c>
      <x:c r="C46" t="s">
        <x:v>130</x:v>
      </x:c>
      <x:c r="D46" t="s">
        <x:v>82</x:v>
      </x:c>
      <x:c r="E46" t="s">
        <x:v>194</x:v>
      </x:c>
      <x:c r="F46" t="s">
        <x:v>39</x:v>
      </x:c>
      <x:c r="G46" t="s">
        <x:v>40</x:v>
      </x:c>
      <x:c r="H46" t="s">
        <x:v>89</x:v>
      </x:c>
      <x:c r="I46" t="s">
        <x:v>41</x:v>
      </x:c>
      <x:c r="J46" t="s">
        <x:v>42</x:v>
      </x:c>
      <x:c r="K46" t="s">
        <x:v>43</x:v>
      </x:c>
      <x:c r="L46" t="s">
        <x:v>195</x:v>
      </x:c>
      <x:c r="M46" s="2">
        <x:v>45410</x:v>
      </x:c>
      <x:c r="N46" s="2">
        <x:v>46229</x:v>
      </x:c>
    </x:row>
    <x:row r="47">
      <x:c r="A47" t="str">
        <x:f t="shared" si="0"/>
        <x:v>AI046</x:v>
      </x:c>
      <x:c r="B47" t="s">
        <x:v>196</x:v>
      </x:c>
      <x:c r="C47" t="s">
        <x:v>36</x:v>
      </x:c>
      <x:c r="D47" t="s">
        <x:v>54</x:v>
      </x:c>
      <x:c r="E47" t="s">
        <x:v>197</x:v>
      </x:c>
      <x:c r="F47" t="s">
        <x:v>48</x:v>
      </x:c>
      <x:c r="G47" t="s">
        <x:v>40</x:v>
      </x:c>
      <x:c r="H47" t="s">
        <x:v>41</x:v>
      </x:c>
      <x:c r="I47" t="s">
        <x:v>41</x:v>
      </x:c>
      <x:c r="J47" t="s">
        <x:v>42</x:v>
      </x:c>
      <x:c r="K47" t="s">
        <x:v>43</x:v>
      </x:c>
      <x:c r="L47" t="s">
        <x:v>198</x:v>
      </x:c>
      <x:c r="M47" s="2">
        <x:v>45411</x:v>
      </x:c>
      <x:c r="N47" s="2">
        <x:v>46230</x:v>
      </x:c>
    </x:row>
    <x:row r="48">
      <x:c r="A48" t="str">
        <x:f t="shared" si="0"/>
        <x:v>AI047</x:v>
      </x:c>
      <x:c r="B48" t="s">
        <x:v>199</x:v>
      </x:c>
      <x:c r="C48" t="s">
        <x:v>36</x:v>
      </x:c>
      <x:c r="D48" t="s">
        <x:v>123</x:v>
      </x:c>
      <x:c r="E48" t="s">
        <x:v>200</x:v>
      </x:c>
      <x:c r="F48" t="s">
        <x:v>39</x:v>
      </x:c>
      <x:c r="G48" t="s">
        <x:v>40</x:v>
      </x:c>
      <x:c r="H48" t="s">
        <x:v>41</x:v>
      </x:c>
      <x:c r="I48" t="s">
        <x:v>50</x:v>
      </x:c>
      <x:c r="J48" t="s">
        <x:v>84</x:v>
      </x:c>
      <x:c r="K48" t="s">
        <x:v>43</x:v>
      </x:c>
      <x:c r="L48" t="s">
        <x:v>201</x:v>
      </x:c>
      <x:c r="M48" s="2">
        <x:v>45412</x:v>
      </x:c>
      <x:c r="N48" s="2">
        <x:v>46231</x:v>
      </x:c>
    </x:row>
    <x:row r="49">
      <x:c r="A49" t="str">
        <x:f t="shared" si="0"/>
        <x:v>AI048</x:v>
      </x:c>
      <x:c r="B49" t="s">
        <x:v>202</x:v>
      </x:c>
      <x:c r="C49" t="s">
        <x:v>53</x:v>
      </x:c>
      <x:c r="D49" t="s">
        <x:v>46</x:v>
      </x:c>
      <x:c r="E49" t="s">
        <x:v>203</x:v>
      </x:c>
      <x:c r="F49" t="s">
        <x:v>39</x:v>
      </x:c>
      <x:c r="G49" t="s">
        <x:v>60</x:v>
      </x:c>
      <x:c r="H49" t="s">
        <x:v>66</x:v>
      </x:c>
      <x:c r="I49" t="s">
        <x:v>41</x:v>
      </x:c>
      <x:c r="J49" t="s">
        <x:v>84</x:v>
      </x:c>
      <x:c r="K49" t="s">
        <x:v>43</x:v>
      </x:c>
      <x:c r="L49" t="s">
        <x:v>204</x:v>
      </x:c>
      <x:c r="M49" s="2">
        <x:v>45413</x:v>
      </x:c>
      <x:c r="N49" s="2">
        <x:v>46232</x:v>
      </x:c>
    </x:row>
    <x:row r="50">
      <x:c r="A50" t="str">
        <x:f t="shared" si="0"/>
        <x:v>AI049</x:v>
      </x:c>
      <x:c r="B50" t="s">
        <x:v>205</x:v>
      </x:c>
      <x:c r="C50" t="s">
        <x:v>53</x:v>
      </x:c>
      <x:c r="D50" t="s">
        <x:v>64</x:v>
      </x:c>
      <x:c r="E50" t="s">
        <x:v>206</x:v>
      </x:c>
      <x:c r="F50" t="s">
        <x:v>39</x:v>
      </x:c>
      <x:c r="G50" t="s">
        <x:v>60</x:v>
      </x:c>
      <x:c r="H50" t="s">
        <x:v>41</x:v>
      </x:c>
      <x:c r="I50" t="s">
        <x:v>41</x:v>
      </x:c>
      <x:c r="J50" t="s">
        <x:v>42</x:v>
      </x:c>
      <x:c r="K50" t="s">
        <x:v>207</x:v>
      </x:c>
      <x:c r="L50" t="s">
        <x:v>144</x:v>
      </x:c>
      <x:c r="M50" s="2">
        <x:v>45414</x:v>
      </x:c>
      <x:c r="N50" s="2">
        <x:v>46233</x:v>
      </x:c>
    </x:row>
    <x:row r="51">
      <x:c r="A51" t="str">
        <x:f t="shared" si="0"/>
        <x:v>AI050</x:v>
      </x:c>
      <x:c r="B51" t="s">
        <x:v>208</x:v>
      </x:c>
      <x:c r="C51" t="s">
        <x:v>76</x:v>
      </x:c>
      <x:c r="D51" t="s">
        <x:v>82</x:v>
      </x:c>
      <x:c r="E51" t="s">
        <x:v>209</x:v>
      </x:c>
      <x:c r="F51" t="s">
        <x:v>39</x:v>
      </x:c>
      <x:c r="G51" t="s">
        <x:v>40</x:v>
      </x:c>
      <x:c r="H51" t="s">
        <x:v>89</x:v>
      </x:c>
      <x:c r="I51" t="s">
        <x:v>41</x:v>
      </x:c>
      <x:c r="J51" t="s">
        <x:v>42</x:v>
      </x:c>
      <x:c r="K51" t="s">
        <x:v>207</x:v>
      </x:c>
      <x:c r="L51" t="s">
        <x:v>210</x:v>
      </x:c>
      <x:c r="M51" s="2">
        <x:v>45415</x:v>
      </x:c>
      <x:c r="N51" s="2">
        <x:v>46234</x:v>
      </x:c>
    </x:row>
  </x:sheetData>
  <x:pageMargins left="0.7" right="0.7" top="0.75" bottom="0.75" header="0.3" footer="0.3"/>
  <x:tableParts count="1">
    <x:tablePart xmlns:r="http://schemas.openxmlformats.org/officeDocument/2006/relationships" r:id="Rd24542c5fd6d407f"/>
  </x:tableParts>
</x:worksheet>
</file>

<file path=xl/worksheets/sheet3.xml><?xml version="1.0" encoding="utf-8"?>
<x:worksheet xmlns:x="http://schemas.openxmlformats.org/spreadsheetml/2006/main">
  <x:sheetFormatPr defaultColWidth="27.77734375" defaultRowHeight="14.399999618530273"/>
  <x:sheetData>
    <x:row r="1">
      <x:c r="A1" t="s">
        <x:v>211</x:v>
      </x:c>
      <x:c r="B1" t="s">
        <x:v>22</x:v>
      </x:c>
      <x:c r="C1" t="s">
        <x:v>212</x:v>
      </x:c>
      <x:c r="D1" t="s">
        <x:v>213</x:v>
      </x:c>
      <x:c r="E1" t="s">
        <x:v>214</x:v>
      </x:c>
      <x:c r="F1" t="s">
        <x:v>215</x:v>
      </x:c>
      <x:c r="G1" t="s">
        <x:v>216</x:v>
      </x:c>
      <x:c r="H1" t="s">
        <x:v>217</x:v>
      </x:c>
      <x:c r="I1" t="s">
        <x:v>218</x:v>
      </x:c>
      <x:c r="J1" t="s">
        <x:v>219</x:v>
      </x:c>
      <x:c r="K1" t="s">
        <x:v>220</x:v>
      </x:c>
      <x:c r="L1" t="s">
        <x:v>221</x:v>
      </x:c>
    </x:row>
    <x:row r="2">
      <x:c r="A2" t="str">
        <x:v>RA001</x:v>
      </x:c>
      <x:c r="B2" t="str">
        <x:v>AI001</x:v>
      </x:c>
      <x:c r="C2" t="n">
        <x:v>4</x:v>
      </x:c>
      <x:c r="D2" t="n">
        <x:v>5</x:v>
      </x:c>
      <x:c r="E2" t="n">
        <x:v>3</x:v>
      </x:c>
      <x:c r="F2" t="n">
        <x:v>4</x:v>
      </x:c>
      <x:c r="G2" t="n">
        <x:v>5</x:v>
      </x:c>
      <x:c r="H2" t="n">
        <x:v>4</x:v>
      </x:c>
      <x:c r="I2" s="12" t="n">
        <x:f>(C2*0.20)+(D2*0.20)+(E2*0.15)+(F2*0.15)+(G2*0.15)+(H2*0.15)</x:f>
        <x:v>4.2</x:v>
      </x:c>
      <x:c r="J2" t="str">
        <x:f>IF(I2&gt;=4,"Critical",IF(I2&gt;=3,"High",IF(I2&gt;=2,"Moderate","Low")))</x:f>
        <x:v>Critical</x:v>
      </x:c>
      <x:c r="K2" s="14" t="n">
        <x:v>46285</x:v>
      </x:c>
      <x:c r="L2" t="str">
        <x:v>AI Governance Analyst</x:v>
      </x:c>
    </x:row>
    <x:row r="3">
      <x:c r="A3" t="str">
        <x:f t="shared" ref="A3:A51" si="0">"RA"&amp;TEXT(ROW()-1,"000")</x:f>
        <x:v>RA002</x:v>
      </x:c>
      <x:c r="B3" t="str">
        <x:f t="shared" ref="B3:B51" si="1">"AI"&amp;TEXT(ROW()-1,"000")</x:f>
        <x:v>AI002</x:v>
      </x:c>
      <x:c r="C3" t="n">
        <x:v>4</x:v>
      </x:c>
      <x:c r="D3" t="n">
        <x:v>4</x:v>
      </x:c>
      <x:c r="E3" t="n">
        <x:v>3</x:v>
      </x:c>
      <x:c r="F3" t="n">
        <x:v>3</x:v>
      </x:c>
      <x:c r="G3" t="n">
        <x:v>3</x:v>
      </x:c>
      <x:c r="H3" t="n">
        <x:v>3</x:v>
      </x:c>
      <x:c r="I3" s="12" t="n">
        <x:f t="shared" ref="I3:I11" si="2">(C3*0.20)+(D3*0.20)+(E3*0.15)+(F3*0.15)+(G3*0.15)+(H3*0.15)</x:f>
        <x:v>3.4000000000000004</x:v>
      </x:c>
      <x:c r="J3" t="str">
        <x:f t="shared" ref="J3:J52" si="3">IF(I3&gt;=4,"Critical",IF(I3&gt;=3,"High",IF(I3&gt;=2,"Moderate","Low")))</x:f>
        <x:v>High</x:v>
      </x:c>
      <x:c r="K3" s="14" t="n">
        <x:f t="shared" ref="K3:K51" si="4">DATE(2026,9,20)</x:f>
        <x:v>46285</x:v>
      </x:c>
      <x:c r="L3" t="str">
        <x:v>AI Governance Analyst</x:v>
      </x:c>
    </x:row>
    <x:row r="4">
      <x:c r="A4" t="str">
        <x:f t="shared" si="0"/>
        <x:v>RA003</x:v>
      </x:c>
      <x:c r="B4" t="str">
        <x:f t="shared" si="1"/>
        <x:v>AI003</x:v>
      </x:c>
      <x:c r="C4" t="n">
        <x:v>2</x:v>
      </x:c>
      <x:c r="D4" t="n">
        <x:v>1</x:v>
      </x:c>
      <x:c r="E4" t="n">
        <x:v>4</x:v>
      </x:c>
      <x:c r="F4" t="n">
        <x:v>5</x:v>
      </x:c>
      <x:c r="G4" t="n">
        <x:v>3</x:v>
      </x:c>
      <x:c r="H4" t="n">
        <x:v>3</x:v>
      </x:c>
      <x:c r="I4" s="12" t="n">
        <x:f t="shared" si="2">(C4*0.20)+(D4*0.20)+(E4*0.15)+(F4*0.15)+(G4*0.15)+(H4*0.15)</x:f>
        <x:v>2.8500000000000005</x:v>
      </x:c>
      <x:c r="J4" t="str">
        <x:f t="shared" si="3">IF(I4&gt;=4,"Critical",IF(I4&gt;=3,"High",IF(I4&gt;=2,"Moderate","Low")))</x:f>
        <x:v>Moderate</x:v>
      </x:c>
      <x:c r="K4" s="14" t="n">
        <x:f t="shared" si="4"/>
        <x:v>46285</x:v>
      </x:c>
      <x:c r="L4" t="str">
        <x:v>AI Governance Analyst</x:v>
      </x:c>
    </x:row>
    <x:row r="5">
      <x:c r="A5" t="str">
        <x:f t="shared" si="0"/>
        <x:v>RA004</x:v>
      </x:c>
      <x:c r="B5" t="str">
        <x:f t="shared" si="1"/>
        <x:v>AI004</x:v>
      </x:c>
      <x:c r="C5" t="n">
        <x:v>2</x:v>
      </x:c>
      <x:c r="D5" t="n">
        <x:v>1</x:v>
      </x:c>
      <x:c r="E5" t="n">
        <x:v>3</x:v>
      </x:c>
      <x:c r="F5" t="n">
        <x:v>4</x:v>
      </x:c>
      <x:c r="G5" t="n">
        <x:v>3</x:v>
      </x:c>
      <x:c r="H5" t="n">
        <x:v>3</x:v>
      </x:c>
      <x:c r="I5" s="12" t="n">
        <x:f t="shared" si="2">(C5*0.20)+(D5*0.20)+(E5*0.15)+(F5*0.15)+(G5*0.15)+(H5*0.15)</x:f>
        <x:v>2.55</x:v>
      </x:c>
      <x:c r="J5" t="str">
        <x:f t="shared" si="3">IF(I5&gt;=4,"Critical",IF(I5&gt;=3,"High",IF(I5&gt;=2,"Moderate","Low")))</x:f>
        <x:v>Moderate</x:v>
      </x:c>
      <x:c r="K5" s="14" t="n">
        <x:f t="shared" si="4"/>
        <x:v>46285</x:v>
      </x:c>
      <x:c r="L5" t="str">
        <x:v>AI Governance Analyst</x:v>
      </x:c>
    </x:row>
    <x:row r="6">
      <x:c r="A6" t="str">
        <x:f t="shared" si="0"/>
        <x:v>RA005</x:v>
      </x:c>
      <x:c r="B6" t="str">
        <x:f t="shared" si="1"/>
        <x:v>AI005</x:v>
      </x:c>
      <x:c r="C6" t="n">
        <x:v>1</x:v>
      </x:c>
      <x:c r="D6" t="n">
        <x:v>1</x:v>
      </x:c>
      <x:c r="E6" t="n">
        <x:v>3</x:v>
      </x:c>
      <x:c r="F6" t="n">
        <x:v>5</x:v>
      </x:c>
      <x:c r="G6" t="n">
        <x:v>3</x:v>
      </x:c>
      <x:c r="H6" t="n">
        <x:v>3</x:v>
      </x:c>
      <x:c r="I6" s="12" t="n">
        <x:f t="shared" si="2">(C6*0.20)+(D6*0.20)+(E6*0.15)+(F6*0.15)+(G6*0.15)+(H6*0.15)</x:f>
        <x:v>2.5</x:v>
      </x:c>
      <x:c r="J6" t="str">
        <x:f t="shared" si="3">IF(I6&gt;=4,"Critical",IF(I6&gt;=3,"High",IF(I6&gt;=2,"Moderate","Low")))</x:f>
        <x:v>Moderate</x:v>
      </x:c>
      <x:c r="K6" s="14" t="n">
        <x:f t="shared" si="4"/>
        <x:v>46285</x:v>
      </x:c>
      <x:c r="L6" t="str">
        <x:v>AI Governance Analyst</x:v>
      </x:c>
    </x:row>
    <x:row r="7">
      <x:c r="A7" t="str">
        <x:f t="shared" si="0"/>
        <x:v>RA006</x:v>
      </x:c>
      <x:c r="B7" t="str">
        <x:f t="shared" si="1"/>
        <x:v>AI006</x:v>
      </x:c>
      <x:c r="C7" t="n">
        <x:v>2</x:v>
      </x:c>
      <x:c r="D7" t="n">
        <x:v>1</x:v>
      </x:c>
      <x:c r="E7" t="n">
        <x:v>3</x:v>
      </x:c>
      <x:c r="F7" t="n">
        <x:v>4</x:v>
      </x:c>
      <x:c r="G7" t="n">
        <x:v>3</x:v>
      </x:c>
      <x:c r="H7" t="n">
        <x:v>3</x:v>
      </x:c>
      <x:c r="I7" s="12" t="n">
        <x:f t="shared" si="2">(C7*0.20)+(D7*0.20)+(E7*0.15)+(F7*0.15)+(G7*0.15)+(H7*0.15)</x:f>
        <x:v>2.55</x:v>
      </x:c>
      <x:c r="J7" t="str">
        <x:f t="shared" si="3">IF(I7&gt;=4,"Critical",IF(I7&gt;=3,"High",IF(I7&gt;=2,"Moderate","Low")))</x:f>
        <x:v>Moderate</x:v>
      </x:c>
      <x:c r="K7" s="14" t="n">
        <x:f t="shared" si="4"/>
        <x:v>46285</x:v>
      </x:c>
      <x:c r="L7" t="str">
        <x:v>AI Governance Analyst</x:v>
      </x:c>
    </x:row>
    <x:row r="8">
      <x:c r="A8" t="str">
        <x:f t="shared" si="0"/>
        <x:v>RA007</x:v>
      </x:c>
      <x:c r="B8" t="str">
        <x:f t="shared" si="1"/>
        <x:v>AI007</x:v>
      </x:c>
      <x:c r="C8" t="n">
        <x:v>2</x:v>
      </x:c>
      <x:c r="D8" t="n">
        <x:v>2</x:v>
      </x:c>
      <x:c r="E8" t="n">
        <x:v>3</x:v>
      </x:c>
      <x:c r="F8" t="n">
        <x:v>4</x:v>
      </x:c>
      <x:c r="G8" t="n">
        <x:v>4</x:v>
      </x:c>
      <x:c r="H8" t="n">
        <x:v>3</x:v>
      </x:c>
      <x:c r="I8" s="12" t="n">
        <x:f t="shared" si="2">(C8*0.20)+(D8*0.20)+(E8*0.15)+(F8*0.15)+(G8*0.15)+(H8*0.15)</x:f>
        <x:v>2.9000000000000004</x:v>
      </x:c>
      <x:c r="J8" t="str">
        <x:f t="shared" si="3">IF(I8&gt;=4,"Critical",IF(I8&gt;=3,"High",IF(I8&gt;=2,"Moderate","Low")))</x:f>
        <x:v>Moderate</x:v>
      </x:c>
      <x:c r="K8" s="14" t="n">
        <x:f t="shared" si="4"/>
        <x:v>46285</x:v>
      </x:c>
      <x:c r="L8" t="str">
        <x:v>AI Governance Analyst</x:v>
      </x:c>
    </x:row>
    <x:row r="9">
      <x:c r="A9" t="str">
        <x:f t="shared" si="0"/>
        <x:v>RA008</x:v>
      </x:c>
      <x:c r="B9" t="str">
        <x:f t="shared" si="1"/>
        <x:v>AI008</x:v>
      </x:c>
      <x:c r="C9" t="n">
        <x:v>4</x:v>
      </x:c>
      <x:c r="D9" t="n">
        <x:v>3</x:v>
      </x:c>
      <x:c r="E9" t="n">
        <x:v>5</x:v>
      </x:c>
      <x:c r="F9" t="n">
        <x:v>4</x:v>
      </x:c>
      <x:c r="G9" t="n">
        <x:v>4</x:v>
      </x:c>
      <x:c r="H9" t="n">
        <x:v>4</x:v>
      </x:c>
      <x:c r="I9" s="12" t="n">
        <x:f t="shared" si="2">(C9*0.20)+(D9*0.20)+(E9*0.15)+(F9*0.15)+(G9*0.15)+(H9*0.15)</x:f>
        <x:v>3.9500000000000006</x:v>
      </x:c>
      <x:c r="J9" t="str">
        <x:f t="shared" si="3">IF(I9&gt;=4,"Critical",IF(I9&gt;=3,"High",IF(I9&gt;=2,"Moderate","Low")))</x:f>
        <x:v>High</x:v>
      </x:c>
      <x:c r="K9" s="14" t="n">
        <x:f t="shared" si="4"/>
        <x:v>46285</x:v>
      </x:c>
      <x:c r="L9" t="str">
        <x:v>AI Governance Analyst</x:v>
      </x:c>
    </x:row>
    <x:row r="10">
      <x:c r="A10" t="str">
        <x:f t="shared" si="0"/>
        <x:v>RA009</x:v>
      </x:c>
      <x:c r="B10" t="str">
        <x:f t="shared" si="1"/>
        <x:v>AI009</x:v>
      </x:c>
      <x:c r="C10" t="n">
        <x:v>4</x:v>
      </x:c>
      <x:c r="D10" t="n">
        <x:v>3</x:v>
      </x:c>
      <x:c r="E10" t="n">
        <x:v>4</x:v>
      </x:c>
      <x:c r="F10" t="n">
        <x:v>4</x:v>
      </x:c>
      <x:c r="G10" t="n">
        <x:v>5</x:v>
      </x:c>
      <x:c r="H10" t="n">
        <x:v>4</x:v>
      </x:c>
      <x:c r="I10" s="12" t="n">
        <x:f t="shared" si="2">(C10*0.20)+(D10*0.20)+(E10*0.15)+(F10*0.15)+(G10*0.15)+(H10*0.15)</x:f>
        <x:v>3.95</x:v>
      </x:c>
      <x:c r="J10" t="str">
        <x:f t="shared" si="3">IF(I10&gt;=4,"Critical",IF(I10&gt;=3,"High",IF(I10&gt;=2,"Moderate","Low")))</x:f>
        <x:v>High</x:v>
      </x:c>
      <x:c r="K10" s="14" t="n">
        <x:f t="shared" si="4"/>
        <x:v>46285</x:v>
      </x:c>
      <x:c r="L10" t="str">
        <x:v>AI Governance Analyst</x:v>
      </x:c>
    </x:row>
    <x:row r="11">
      <x:c r="A11" t="str">
        <x:f t="shared" si="0"/>
        <x:v>RA010</x:v>
      </x:c>
      <x:c r="B11" t="str">
        <x:f t="shared" si="1"/>
        <x:v>AI010</x:v>
      </x:c>
      <x:c r="C11" t="n">
        <x:v>5</x:v>
      </x:c>
      <x:c r="D11" t="n">
        <x:v>2</x:v>
      </x:c>
      <x:c r="E11" t="n">
        <x:v>5</x:v>
      </x:c>
      <x:c r="F11" t="n">
        <x:v>4</x:v>
      </x:c>
      <x:c r="G11" t="n">
        <x:v>5</x:v>
      </x:c>
      <x:c r="H11" t="n">
        <x:v>4</x:v>
      </x:c>
      <x:c r="I11" s="12" t="n">
        <x:f t="shared" si="2">(C11*0.20)+(D11*0.20)+(E11*0.15)+(F11*0.15)+(G11*0.15)+(H11*0.15)</x:f>
        <x:v>4.1</x:v>
      </x:c>
      <x:c r="J11" t="str">
        <x:f t="shared" si="3">IF(I11&gt;=4,"Critical",IF(I11&gt;=3,"High",IF(I11&gt;=2,"Moderate","Low")))</x:f>
        <x:v>Critical</x:v>
      </x:c>
      <x:c r="K11" s="14" t="n">
        <x:f t="shared" si="4"/>
        <x:v>46285</x:v>
      </x:c>
      <x:c r="L11" t="str">
        <x:v>AI Governance Analyst</x:v>
      </x:c>
    </x:row>
    <x:row r="12">
      <x:c r="A12" t="str">
        <x:f t="shared" si="0"/>
        <x:v>RA011</x:v>
      </x:c>
      <x:c r="B12" t="str">
        <x:f t="shared" si="1"/>
        <x:v>AI011</x:v>
      </x:c>
      <x:c r="C12" t="n">
        <x:v>3</x:v>
      </x:c>
      <x:c r="D12" t="n">
        <x:v>3</x:v>
      </x:c>
      <x:c r="E12" t="n">
        <x:v>3</x:v>
      </x:c>
      <x:c r="F12" t="n">
        <x:v>2</x:v>
      </x:c>
      <x:c r="G12" t="n">
        <x:v>3</x:v>
      </x:c>
      <x:c r="H12" t="n">
        <x:v>2</x:v>
      </x:c>
      <x:c r="I12" s="12" t="n">
        <x:f>(C12*0.20)+(D12*0.20)+(E12*0.15)+(F12*0.15)+(G12*0.15)+(H12*0.15)</x:f>
        <x:v>2.7</x:v>
      </x:c>
      <x:c r="J12" t="str">
        <x:f t="shared" si="3">IF(I12&gt;=4,"Critical",IF(I12&gt;=3,"High",IF(I12&gt;=2,"Moderate","Low")))</x:f>
        <x:v>Moderate</x:v>
      </x:c>
      <x:c r="K12" s="14" t="n">
        <x:f t="shared" si="4"/>
        <x:v>46285</x:v>
      </x:c>
      <x:c r="L12" t="str">
        <x:v>AI Governance Analyst</x:v>
      </x:c>
    </x:row>
    <x:row r="13">
      <x:c r="A13" t="str">
        <x:f t="shared" si="0"/>
        <x:v>RA012</x:v>
      </x:c>
      <x:c r="B13" t="str">
        <x:f t="shared" si="1"/>
        <x:v>AI012</x:v>
      </x:c>
      <x:c r="C13" t="n">
        <x:v>4</x:v>
      </x:c>
      <x:c r="D13" t="n">
        <x:v>3</x:v>
      </x:c>
      <x:c r="E13" t="n">
        <x:v>3</x:v>
      </x:c>
      <x:c r="F13" t="n">
        <x:v>3</x:v>
      </x:c>
      <x:c r="G13" t="n">
        <x:v>3</x:v>
      </x:c>
      <x:c r="H13" t="n">
        <x:v>3</x:v>
      </x:c>
      <x:c r="I13" s="12" t="n">
        <x:f t="shared" ref="I13:I52" si="5">(C13*0.20)+(D13*0.20)+(E13*0.15)+(F13*0.15)+(G13*0.15)+(H13*0.15)</x:f>
        <x:v>3.2</x:v>
      </x:c>
      <x:c r="J13" t="str">
        <x:f t="shared" si="3">IF(I13&gt;=4,"Critical",IF(I13&gt;=3,"High",IF(I13&gt;=2,"Moderate","Low")))</x:f>
        <x:v>High</x:v>
      </x:c>
      <x:c r="K13" s="14" t="n">
        <x:f t="shared" si="4"/>
        <x:v>46285</x:v>
      </x:c>
      <x:c r="L13" t="str">
        <x:v>AI Governance Analyst</x:v>
      </x:c>
    </x:row>
    <x:row r="14">
      <x:c r="A14" t="str">
        <x:f t="shared" si="0"/>
        <x:v>RA013</x:v>
      </x:c>
      <x:c r="B14" t="str">
        <x:f t="shared" si="1"/>
        <x:v>AI013</x:v>
      </x:c>
      <x:c r="C14" t="n">
        <x:v>5</x:v>
      </x:c>
      <x:c r="D14" t="n">
        <x:v>1</x:v>
      </x:c>
      <x:c r="E14" t="n">
        <x:v>5</x:v>
      </x:c>
      <x:c r="F14" t="n">
        <x:v>5</x:v>
      </x:c>
      <x:c r="G14" t="n">
        <x:v>4</x:v>
      </x:c>
      <x:c r="H14" t="n">
        <x:v>3</x:v>
      </x:c>
      <x:c r="I14" s="12" t="n">
        <x:f t="shared" si="5">(C14*0.20)+(D14*0.20)+(E14*0.15)+(F14*0.15)+(G14*0.15)+(H14*0.15)</x:f>
        <x:v>3.75</x:v>
      </x:c>
      <x:c r="J14" t="str">
        <x:f t="shared" si="3">IF(I14&gt;=4,"Critical",IF(I14&gt;=3,"High",IF(I14&gt;=2,"Moderate","Low")))</x:f>
        <x:v>High</x:v>
      </x:c>
      <x:c r="K14" s="14" t="n">
        <x:f t="shared" si="4"/>
        <x:v>46285</x:v>
      </x:c>
      <x:c r="L14" t="str">
        <x:v>AI Governance Analyst</x:v>
      </x:c>
    </x:row>
    <x:row r="15">
      <x:c r="A15" t="str">
        <x:f t="shared" si="0"/>
        <x:v>RA014</x:v>
      </x:c>
      <x:c r="B15" t="str">
        <x:f t="shared" si="1"/>
        <x:v>AI014</x:v>
      </x:c>
      <x:c r="C15" t="n">
        <x:v>4</x:v>
      </x:c>
      <x:c r="D15" t="n">
        <x:v>2</x:v>
      </x:c>
      <x:c r="E15" t="n">
        <x:v>4</x:v>
      </x:c>
      <x:c r="F15" t="n">
        <x:v>3</x:v>
      </x:c>
      <x:c r="G15" t="n">
        <x:v>5</x:v>
      </x:c>
      <x:c r="H15" t="n">
        <x:v>4</x:v>
      </x:c>
      <x:c r="I15" s="12" t="n">
        <x:f t="shared" si="5">(C15*0.20)+(D15*0.20)+(E15*0.15)+(F15*0.15)+(G15*0.15)+(H15*0.15)</x:f>
        <x:v>3.6</x:v>
      </x:c>
      <x:c r="J15" t="str">
        <x:f t="shared" si="3">IF(I15&gt;=4,"Critical",IF(I15&gt;=3,"High",IF(I15&gt;=2,"Moderate","Low")))</x:f>
        <x:v>High</x:v>
      </x:c>
      <x:c r="K15" s="14" t="n">
        <x:f t="shared" si="4"/>
        <x:v>46285</x:v>
      </x:c>
      <x:c r="L15" t="str">
        <x:v>AI Governance Analyst</x:v>
      </x:c>
    </x:row>
    <x:row r="16">
      <x:c r="A16" t="str">
        <x:f t="shared" si="0"/>
        <x:v>RA015</x:v>
      </x:c>
      <x:c r="B16" t="str">
        <x:f t="shared" si="1"/>
        <x:v>AI015</x:v>
      </x:c>
      <x:c r="C16" t="n">
        <x:v>5</x:v>
      </x:c>
      <x:c r="D16" t="n">
        <x:v>3</x:v>
      </x:c>
      <x:c r="E16" t="n">
        <x:v>5</x:v>
      </x:c>
      <x:c r="F16" t="n">
        <x:v>4</x:v>
      </x:c>
      <x:c r="G16" t="n">
        <x:v>4</x:v>
      </x:c>
      <x:c r="H16" t="n">
        <x:v>4</x:v>
      </x:c>
      <x:c r="I16" s="12" t="n">
        <x:f t="shared" si="5">(C16*0.20)+(D16*0.20)+(E16*0.15)+(F16*0.15)+(G16*0.15)+(H16*0.15)</x:f>
        <x:v>4.15</x:v>
      </x:c>
      <x:c r="J16" t="str">
        <x:f t="shared" si="3">IF(I16&gt;=4,"Critical",IF(I16&gt;=3,"High",IF(I16&gt;=2,"Moderate","Low")))</x:f>
        <x:v>Critical</x:v>
      </x:c>
      <x:c r="K16" s="14" t="n">
        <x:f t="shared" si="4"/>
        <x:v>46285</x:v>
      </x:c>
      <x:c r="L16" t="str">
        <x:v>AI Governance Analyst</x:v>
      </x:c>
    </x:row>
    <x:row r="17">
      <x:c r="A17" t="str">
        <x:f t="shared" si="0"/>
        <x:v>RA016</x:v>
      </x:c>
      <x:c r="B17" t="str">
        <x:f t="shared" si="1"/>
        <x:v>AI016</x:v>
      </x:c>
      <x:c r="C17" t="n">
        <x:v>3</x:v>
      </x:c>
      <x:c r="D17" t="n">
        <x:v>2</x:v>
      </x:c>
      <x:c r="E17" t="n">
        <x:v>3</x:v>
      </x:c>
      <x:c r="F17" t="n">
        <x:v>3</x:v>
      </x:c>
      <x:c r="G17" t="n">
        <x:v>3</x:v>
      </x:c>
      <x:c r="H17" t="n">
        <x:v>3</x:v>
      </x:c>
      <x:c r="I17" s="12" t="n">
        <x:f t="shared" si="5">(C17*0.20)+(D17*0.20)+(E17*0.15)+(F17*0.15)+(G17*0.15)+(H17*0.15)</x:f>
        <x:v>2.8</x:v>
      </x:c>
      <x:c r="J17" t="str">
        <x:f t="shared" si="3">IF(I17&gt;=4,"Critical",IF(I17&gt;=3,"High",IF(I17&gt;=2,"Moderate","Low")))</x:f>
        <x:v>Moderate</x:v>
      </x:c>
      <x:c r="K17" s="14" t="n">
        <x:f t="shared" si="4"/>
        <x:v>46285</x:v>
      </x:c>
      <x:c r="L17" t="str">
        <x:v>AI Governance Analyst</x:v>
      </x:c>
    </x:row>
    <x:row r="18">
      <x:c r="A18" t="str">
        <x:f t="shared" si="0"/>
        <x:v>RA017</x:v>
      </x:c>
      <x:c r="B18" t="str">
        <x:f t="shared" si="1"/>
        <x:v>AI017</x:v>
      </x:c>
      <x:c r="C18" t="n">
        <x:v>2</x:v>
      </x:c>
      <x:c r="D18" t="n">
        <x:v>1</x:v>
      </x:c>
      <x:c r="E18" t="n">
        <x:v>3</x:v>
      </x:c>
      <x:c r="F18" t="n">
        <x:v>5</x:v>
      </x:c>
      <x:c r="G18" t="n">
        <x:v>3</x:v>
      </x:c>
      <x:c r="H18" t="n">
        <x:v>3</x:v>
      </x:c>
      <x:c r="I18" s="12" t="n">
        <x:f t="shared" si="5">(C18*0.20)+(D18*0.20)+(E18*0.15)+(F18*0.15)+(G18*0.15)+(H18*0.15)</x:f>
        <x:v>2.7</x:v>
      </x:c>
      <x:c r="J18" t="str">
        <x:f t="shared" si="3">IF(I18&gt;=4,"Critical",IF(I18&gt;=3,"High",IF(I18&gt;=2,"Moderate","Low")))</x:f>
        <x:v>Moderate</x:v>
      </x:c>
      <x:c r="K18" s="14" t="n">
        <x:f t="shared" si="4"/>
        <x:v>46285</x:v>
      </x:c>
      <x:c r="L18" t="str">
        <x:v>AI Governance Analyst</x:v>
      </x:c>
    </x:row>
    <x:row r="19">
      <x:c r="A19" t="str">
        <x:f t="shared" si="0"/>
        <x:v>RA018</x:v>
      </x:c>
      <x:c r="B19" t="str">
        <x:f t="shared" si="1"/>
        <x:v>AI018</x:v>
      </x:c>
      <x:c r="C19" t="n">
        <x:v>2</x:v>
      </x:c>
      <x:c r="D19" t="n">
        <x:v>1</x:v>
      </x:c>
      <x:c r="E19" t="n">
        <x:v>3</x:v>
      </x:c>
      <x:c r="F19" t="n">
        <x:v>4</x:v>
      </x:c>
      <x:c r="G19" t="n">
        <x:v>5</x:v>
      </x:c>
      <x:c r="H19" t="n">
        <x:v>4</x:v>
      </x:c>
      <x:c r="I19" s="12" t="n">
        <x:f t="shared" si="5">(C19*0.20)+(D19*0.20)+(E19*0.15)+(F19*0.15)+(G19*0.15)+(H19*0.15)</x:f>
        <x:v>3</x:v>
      </x:c>
      <x:c r="J19" t="str">
        <x:f t="shared" si="3">IF(I19&gt;=4,"Critical",IF(I19&gt;=3,"High",IF(I19&gt;=2,"Moderate","Low")))</x:f>
        <x:v>High</x:v>
      </x:c>
      <x:c r="K19" s="14" t="n">
        <x:f t="shared" si="4"/>
        <x:v>46285</x:v>
      </x:c>
      <x:c r="L19" t="str">
        <x:v>AI Governance Analyst</x:v>
      </x:c>
    </x:row>
    <x:row r="20">
      <x:c r="A20" t="str">
        <x:f t="shared" si="0"/>
        <x:v>RA019</x:v>
      </x:c>
      <x:c r="B20" t="str">
        <x:f t="shared" si="1"/>
        <x:v>AI019</x:v>
      </x:c>
      <x:c r="C20" t="n">
        <x:v>2</x:v>
      </x:c>
      <x:c r="D20" t="n">
        <x:v>2</x:v>
      </x:c>
      <x:c r="E20" t="n">
        <x:v>2</x:v>
      </x:c>
      <x:c r="F20" t="n">
        <x:v>2</x:v>
      </x:c>
      <x:c r="G20" t="n">
        <x:v>4</x:v>
      </x:c>
      <x:c r="H20" t="n">
        <x:v>2</x:v>
      </x:c>
      <x:c r="I20" s="12" t="n">
        <x:f t="shared" si="5">(C20*0.20)+(D20*0.20)+(E20*0.15)+(F20*0.15)+(G20*0.15)+(H20*0.15)</x:f>
        <x:v>2.3</x:v>
      </x:c>
      <x:c r="J20" t="str">
        <x:f t="shared" si="3">IF(I20&gt;=4,"Critical",IF(I20&gt;=3,"High",IF(I20&gt;=2,"Moderate","Low")))</x:f>
        <x:v>Moderate</x:v>
      </x:c>
      <x:c r="K20" s="14" t="n">
        <x:f t="shared" si="4"/>
        <x:v>46285</x:v>
      </x:c>
      <x:c r="L20" t="str">
        <x:v>AI Governance Analyst</x:v>
      </x:c>
    </x:row>
    <x:row r="21">
      <x:c r="A21" t="str">
        <x:f t="shared" si="0"/>
        <x:v>RA020</x:v>
      </x:c>
      <x:c r="B21" t="str">
        <x:f t="shared" si="1"/>
        <x:v>AI020</x:v>
      </x:c>
      <x:c r="C21" t="n">
        <x:v>4</x:v>
      </x:c>
      <x:c r="D21" t="n">
        <x:v>4</x:v>
      </x:c>
      <x:c r="E21" t="n">
        <x:v>3</x:v>
      </x:c>
      <x:c r="F21" t="n">
        <x:v>3</x:v>
      </x:c>
      <x:c r="G21" t="n">
        <x:v>4</x:v>
      </x:c>
      <x:c r="H21" t="n">
        <x:v>3</x:v>
      </x:c>
      <x:c r="I21" s="12" t="n">
        <x:f t="shared" si="5">(C21*0.20)+(D21*0.20)+(E21*0.15)+(F21*0.15)+(G21*0.15)+(H21*0.15)</x:f>
        <x:v>3.55</x:v>
      </x:c>
      <x:c r="J21" t="str">
        <x:f t="shared" si="3">IF(I21&gt;=4,"Critical",IF(I21&gt;=3,"High",IF(I21&gt;=2,"Moderate","Low")))</x:f>
        <x:v>High</x:v>
      </x:c>
      <x:c r="K21" s="14" t="n">
        <x:f t="shared" si="4"/>
        <x:v>46285</x:v>
      </x:c>
      <x:c r="L21" t="str">
        <x:v>AI Governance Analyst</x:v>
      </x:c>
    </x:row>
    <x:row r="22">
      <x:c r="A22" t="str">
        <x:f t="shared" si="0"/>
        <x:v>RA021</x:v>
      </x:c>
      <x:c r="B22" t="str">
        <x:f t="shared" si="1"/>
        <x:v>AI021</x:v>
      </x:c>
      <x:c r="C22" t="n">
        <x:v>4</x:v>
      </x:c>
      <x:c r="D22" t="n">
        <x:v>3</x:v>
      </x:c>
      <x:c r="E22" t="n">
        <x:v>3</x:v>
      </x:c>
      <x:c r="F22" t="n">
        <x:v>3</x:v>
      </x:c>
      <x:c r="G22" t="n">
        <x:v>4</x:v>
      </x:c>
      <x:c r="H22" t="n">
        <x:v>4</x:v>
      </x:c>
      <x:c r="I22" s="12" t="n">
        <x:f t="shared" si="5">(C22*0.20)+(D22*0.20)+(E22*0.15)+(F22*0.15)+(G22*0.15)+(H22*0.15)</x:f>
        <x:v>3.5</x:v>
      </x:c>
      <x:c r="J22" t="str">
        <x:f t="shared" si="3">IF(I22&gt;=4,"Critical",IF(I22&gt;=3,"High",IF(I22&gt;=2,"Moderate","Low")))</x:f>
        <x:v>High</x:v>
      </x:c>
      <x:c r="K22" s="14" t="n">
        <x:f t="shared" si="4"/>
        <x:v>46285</x:v>
      </x:c>
      <x:c r="L22" t="str">
        <x:v>AI Governance Analyst</x:v>
      </x:c>
    </x:row>
    <x:row r="23">
      <x:c r="A23" t="str">
        <x:f t="shared" si="0"/>
        <x:v>RA022</x:v>
      </x:c>
      <x:c r="B23" t="str">
        <x:f t="shared" si="1"/>
        <x:v>AI022</x:v>
      </x:c>
      <x:c r="C23" t="n">
        <x:v>2</x:v>
      </x:c>
      <x:c r="D23" t="n">
        <x:v>4</x:v>
      </x:c>
      <x:c r="E23" t="n">
        <x:v>3</x:v>
      </x:c>
      <x:c r="F23" t="n">
        <x:v>4</x:v>
      </x:c>
      <x:c r="G23" t="n">
        <x:v>4</x:v>
      </x:c>
      <x:c r="H23" t="n">
        <x:v>4</x:v>
      </x:c>
      <x:c r="I23" s="12" t="n">
        <x:f t="shared" si="5">(C23*0.20)+(D23*0.20)+(E23*0.15)+(F23*0.15)+(G23*0.15)+(H23*0.15)</x:f>
        <x:v>3.45</x:v>
      </x:c>
      <x:c r="J23" t="str">
        <x:f t="shared" si="3">IF(I23&gt;=4,"Critical",IF(I23&gt;=3,"High",IF(I23&gt;=2,"Moderate","Low")))</x:f>
        <x:v>High</x:v>
      </x:c>
      <x:c r="K23" s="14" t="n">
        <x:f t="shared" si="4"/>
        <x:v>46285</x:v>
      </x:c>
      <x:c r="L23" t="str">
        <x:v>AI Governance Analyst</x:v>
      </x:c>
    </x:row>
    <x:row r="24">
      <x:c r="A24" t="str">
        <x:f t="shared" si="0"/>
        <x:v>RA023</x:v>
      </x:c>
      <x:c r="B24" t="str">
        <x:f t="shared" si="1"/>
        <x:v>AI023</x:v>
      </x:c>
      <x:c r="C24" t="n">
        <x:v>5</x:v>
      </x:c>
      <x:c r="D24" t="n">
        <x:v>1</x:v>
      </x:c>
      <x:c r="E24" t="n">
        <x:v>5</x:v>
      </x:c>
      <x:c r="F24" t="n">
        <x:v>4</x:v>
      </x:c>
      <x:c r="G24" t="n">
        <x:v>5</x:v>
      </x:c>
      <x:c r="H24" t="n">
        <x:v>3</x:v>
      </x:c>
      <x:c r="I24" s="12" t="n">
        <x:f t="shared" si="5">(C24*0.20)+(D24*0.20)+(E24*0.15)+(F24*0.15)+(G24*0.15)+(H24*0.15)</x:f>
        <x:v>3.75</x:v>
      </x:c>
      <x:c r="J24" t="str">
        <x:f t="shared" si="3">IF(I24&gt;=4,"Critical",IF(I24&gt;=3,"High",IF(I24&gt;=2,"Moderate","Low")))</x:f>
        <x:v>High</x:v>
      </x:c>
      <x:c r="K24" s="14" t="n">
        <x:f t="shared" si="4"/>
        <x:v>46285</x:v>
      </x:c>
      <x:c r="L24" t="str">
        <x:v>AI Governance Analyst</x:v>
      </x:c>
    </x:row>
    <x:row r="25">
      <x:c r="A25" t="str">
        <x:f t="shared" si="0"/>
        <x:v>RA024</x:v>
      </x:c>
      <x:c r="B25" t="str">
        <x:f t="shared" si="1"/>
        <x:v>AI024</x:v>
      </x:c>
      <x:c r="C25" t="n">
        <x:v>2</x:v>
      </x:c>
      <x:c r="D25" t="n">
        <x:v>1</x:v>
      </x:c>
      <x:c r="E25" t="n">
        <x:v>4</x:v>
      </x:c>
      <x:c r="F25" t="n">
        <x:v>5</x:v>
      </x:c>
      <x:c r="G25" t="n">
        <x:v>3</x:v>
      </x:c>
      <x:c r="H25" t="n">
        <x:v>3</x:v>
      </x:c>
      <x:c r="I25" s="12" t="n">
        <x:f t="shared" si="5">(C25*0.20)+(D25*0.20)+(E25*0.15)+(F25*0.15)+(G25*0.15)+(H25*0.15)</x:f>
        <x:v>2.8500000000000005</x:v>
      </x:c>
      <x:c r="J25" t="str">
        <x:f t="shared" si="3">IF(I25&gt;=4,"Critical",IF(I25&gt;=3,"High",IF(I25&gt;=2,"Moderate","Low")))</x:f>
        <x:v>Moderate</x:v>
      </x:c>
      <x:c r="K25" s="14" t="n">
        <x:f t="shared" si="4"/>
        <x:v>46285</x:v>
      </x:c>
      <x:c r="L25" t="str">
        <x:v>AI Governance Analyst</x:v>
      </x:c>
    </x:row>
    <x:row r="26">
      <x:c r="A26" t="str">
        <x:f t="shared" si="0"/>
        <x:v>RA025</x:v>
      </x:c>
      <x:c r="B26" t="str">
        <x:f t="shared" si="1"/>
        <x:v>AI025</x:v>
      </x:c>
      <x:c r="C26" t="n">
        <x:v>4</x:v>
      </x:c>
      <x:c r="D26" t="n">
        <x:v>1</x:v>
      </x:c>
      <x:c r="E26" t="n">
        <x:v>5</x:v>
      </x:c>
      <x:c r="F26" t="n">
        <x:v>5</x:v>
      </x:c>
      <x:c r="G26" t="n">
        <x:v>3</x:v>
      </x:c>
      <x:c r="H26" t="n">
        <x:v>3</x:v>
      </x:c>
      <x:c r="I26" s="12" t="n">
        <x:f t="shared" si="5">(C26*0.20)+(D26*0.20)+(E26*0.15)+(F26*0.15)+(G26*0.15)+(H26*0.15)</x:f>
        <x:v>3.4000000000000004</x:v>
      </x:c>
      <x:c r="J26" t="str">
        <x:f t="shared" si="3">IF(I26&gt;=4,"Critical",IF(I26&gt;=3,"High",IF(I26&gt;=2,"Moderate","Low")))</x:f>
        <x:v>High</x:v>
      </x:c>
      <x:c r="K26" s="14" t="n">
        <x:f t="shared" si="4"/>
        <x:v>46285</x:v>
      </x:c>
      <x:c r="L26" t="str">
        <x:v>AI Governance Analyst</x:v>
      </x:c>
    </x:row>
    <x:row r="27">
      <x:c r="A27" t="str">
        <x:f t="shared" si="0"/>
        <x:v>RA026</x:v>
      </x:c>
      <x:c r="B27" t="str">
        <x:f t="shared" si="1"/>
        <x:v>AI026</x:v>
      </x:c>
      <x:c r="C27" t="n">
        <x:v>1</x:v>
      </x:c>
      <x:c r="D27" t="n">
        <x:v>1</x:v>
      </x:c>
      <x:c r="E27" t="n">
        <x:v>2</x:v>
      </x:c>
      <x:c r="F27" t="n">
        <x:v>3</x:v>
      </x:c>
      <x:c r="G27" t="n">
        <x:v>2</x:v>
      </x:c>
      <x:c r="H27" t="n">
        <x:v>2</x:v>
      </x:c>
      <x:c r="I27" s="12" t="n">
        <x:f t="shared" si="5">(C27*0.20)+(D27*0.20)+(E27*0.15)+(F27*0.15)+(G27*0.15)+(H27*0.15)</x:f>
        <x:v>1.75</x:v>
      </x:c>
      <x:c r="J27" t="str">
        <x:f t="shared" si="3">IF(I27&gt;=4,"Critical",IF(I27&gt;=3,"High",IF(I27&gt;=2,"Moderate","Low")))</x:f>
        <x:v>Low</x:v>
      </x:c>
      <x:c r="K27" s="14" t="n">
        <x:f t="shared" si="4"/>
        <x:v>46285</x:v>
      </x:c>
      <x:c r="L27" t="str">
        <x:v>AI Governance Analyst</x:v>
      </x:c>
    </x:row>
    <x:row r="28">
      <x:c r="A28" t="str">
        <x:f t="shared" si="0"/>
        <x:v>RA027</x:v>
      </x:c>
      <x:c r="B28" t="str">
        <x:f t="shared" si="1"/>
        <x:v>AI027</x:v>
      </x:c>
      <x:c r="C28" t="n">
        <x:v>4</x:v>
      </x:c>
      <x:c r="D28" t="n">
        <x:v>3</x:v>
      </x:c>
      <x:c r="E28" t="n">
        <x:v>4</x:v>
      </x:c>
      <x:c r="F28" t="n">
        <x:v>5</x:v>
      </x:c>
      <x:c r="G28" t="n">
        <x:v>4</x:v>
      </x:c>
      <x:c r="H28" t="n">
        <x:v>4</x:v>
      </x:c>
      <x:c r="I28" s="12" t="n">
        <x:f t="shared" si="5">(C28*0.20)+(D28*0.20)+(E28*0.15)+(F28*0.15)+(G28*0.15)+(H28*0.15)</x:f>
        <x:v>3.95</x:v>
      </x:c>
      <x:c r="J28" t="str">
        <x:f t="shared" si="3">IF(I28&gt;=4,"Critical",IF(I28&gt;=3,"High",IF(I28&gt;=2,"Moderate","Low")))</x:f>
        <x:v>High</x:v>
      </x:c>
      <x:c r="K28" s="14" t="n">
        <x:f t="shared" si="4"/>
        <x:v>46285</x:v>
      </x:c>
      <x:c r="L28" t="str">
        <x:v>AI Governance Analyst</x:v>
      </x:c>
    </x:row>
    <x:row r="29">
      <x:c r="A29" t="str">
        <x:f t="shared" si="0"/>
        <x:v>RA028</x:v>
      </x:c>
      <x:c r="B29" t="str">
        <x:f t="shared" si="1"/>
        <x:v>AI028</x:v>
      </x:c>
      <x:c r="C29" t="n">
        <x:v>2</x:v>
      </x:c>
      <x:c r="D29" t="n">
        <x:v>1</x:v>
      </x:c>
      <x:c r="E29" t="n">
        <x:v>3</x:v>
      </x:c>
      <x:c r="F29" t="n">
        <x:v>3</x:v>
      </x:c>
      <x:c r="G29" t="n">
        <x:v>3</x:v>
      </x:c>
      <x:c r="H29" t="n">
        <x:v>2</x:v>
      </x:c>
      <x:c r="I29" s="12" t="n">
        <x:f t="shared" si="5">(C29*0.20)+(D29*0.20)+(E29*0.15)+(F29*0.15)+(G29*0.15)+(H29*0.15)</x:f>
        <x:v>2.25</x:v>
      </x:c>
      <x:c r="J29" t="str">
        <x:f t="shared" si="3">IF(I29&gt;=4,"Critical",IF(I29&gt;=3,"High",IF(I29&gt;=2,"Moderate","Low")))</x:f>
        <x:v>Moderate</x:v>
      </x:c>
      <x:c r="K29" s="14" t="n">
        <x:f t="shared" si="4"/>
        <x:v>46285</x:v>
      </x:c>
      <x:c r="L29" t="str">
        <x:v>AI Governance Analyst</x:v>
      </x:c>
    </x:row>
    <x:row r="30">
      <x:c r="A30" t="str">
        <x:f t="shared" si="0"/>
        <x:v>RA029</x:v>
      </x:c>
      <x:c r="B30" t="str">
        <x:f t="shared" si="1"/>
        <x:v>AI029</x:v>
      </x:c>
      <x:c r="C30" t="n">
        <x:v>2</x:v>
      </x:c>
      <x:c r="D30" t="n">
        <x:v>1</x:v>
      </x:c>
      <x:c r="E30" t="n">
        <x:v>3</x:v>
      </x:c>
      <x:c r="F30" t="n">
        <x:v>3</x:v>
      </x:c>
      <x:c r="G30" t="n">
        <x:v>3</x:v>
      </x:c>
      <x:c r="H30" t="n">
        <x:v>2</x:v>
      </x:c>
      <x:c r="I30" s="12" t="n">
        <x:f t="shared" si="5">(C30*0.20)+(D30*0.20)+(E30*0.15)+(F30*0.15)+(G30*0.15)+(H30*0.15)</x:f>
        <x:v>2.25</x:v>
      </x:c>
      <x:c r="J30" t="str">
        <x:f t="shared" si="3">IF(I30&gt;=4,"Critical",IF(I30&gt;=3,"High",IF(I30&gt;=2,"Moderate","Low")))</x:f>
        <x:v>Moderate</x:v>
      </x:c>
      <x:c r="K30" s="14" t="n">
        <x:f t="shared" si="4"/>
        <x:v>46285</x:v>
      </x:c>
      <x:c r="L30" t="str">
        <x:v>AI Governance Analyst</x:v>
      </x:c>
    </x:row>
    <x:row r="31">
      <x:c r="A31" t="str">
        <x:f t="shared" si="0"/>
        <x:v>RA030</x:v>
      </x:c>
      <x:c r="B31" t="str">
        <x:f t="shared" si="1"/>
        <x:v>AI030</x:v>
      </x:c>
      <x:c r="C31" t="n">
        <x:v>4</x:v>
      </x:c>
      <x:c r="D31" t="n">
        <x:v>2</x:v>
      </x:c>
      <x:c r="E31" t="n">
        <x:v>5</x:v>
      </x:c>
      <x:c r="F31" t="n">
        <x:v>4</x:v>
      </x:c>
      <x:c r="G31" t="n">
        <x:v>5</x:v>
      </x:c>
      <x:c r="H31" t="n">
        <x:v>4</x:v>
      </x:c>
      <x:c r="I31" s="12" t="n">
        <x:f t="shared" si="5">(C31*0.20)+(D31*0.20)+(E31*0.15)+(F31*0.15)+(G31*0.15)+(H31*0.15)</x:f>
        <x:v>3.9000000000000004</x:v>
      </x:c>
      <x:c r="J31" t="str">
        <x:f t="shared" si="3">IF(I31&gt;=4,"Critical",IF(I31&gt;=3,"High",IF(I31&gt;=2,"Moderate","Low")))</x:f>
        <x:v>High</x:v>
      </x:c>
      <x:c r="K31" s="14" t="n">
        <x:f t="shared" si="4"/>
        <x:v>46285</x:v>
      </x:c>
      <x:c r="L31" t="str">
        <x:v>AI Governance Analyst</x:v>
      </x:c>
    </x:row>
    <x:row r="32">
      <x:c r="A32" t="str">
        <x:f t="shared" si="0"/>
        <x:v>RA031</x:v>
      </x:c>
      <x:c r="B32" t="str">
        <x:f t="shared" si="1"/>
        <x:v>AI031</x:v>
      </x:c>
      <x:c r="C32" t="n">
        <x:v>4</x:v>
      </x:c>
      <x:c r="D32" t="n">
        <x:v>1</x:v>
      </x:c>
      <x:c r="E32" t="n">
        <x:v>5</x:v>
      </x:c>
      <x:c r="F32" t="n">
        <x:v>4</x:v>
      </x:c>
      <x:c r="G32" t="n">
        <x:v>4</x:v>
      </x:c>
      <x:c r="H32" t="n">
        <x:v>3</x:v>
      </x:c>
      <x:c r="I32" s="12" t="n">
        <x:f t="shared" si="5">(C32*0.20)+(D32*0.20)+(E32*0.15)+(F32*0.15)+(G32*0.15)+(H32*0.15)</x:f>
        <x:v>3.4000000000000004</x:v>
      </x:c>
      <x:c r="J32" t="str">
        <x:f t="shared" si="3">IF(I32&gt;=4,"Critical",IF(I32&gt;=3,"High",IF(I32&gt;=2,"Moderate","Low")))</x:f>
        <x:v>High</x:v>
      </x:c>
      <x:c r="K32" s="14" t="n">
        <x:f t="shared" si="4"/>
        <x:v>46285</x:v>
      </x:c>
      <x:c r="L32" t="str">
        <x:v>AI Governance Analyst</x:v>
      </x:c>
    </x:row>
    <x:row r="33">
      <x:c r="A33" t="str">
        <x:f t="shared" si="0"/>
        <x:v>RA032</x:v>
      </x:c>
      <x:c r="B33" t="str">
        <x:f t="shared" si="1"/>
        <x:v>AI032</x:v>
      </x:c>
      <x:c r="C33" t="n">
        <x:v>4</x:v>
      </x:c>
      <x:c r="D33" t="n">
        <x:v>3</x:v>
      </x:c>
      <x:c r="E33" t="n">
        <x:v>4</x:v>
      </x:c>
      <x:c r="F33" t="n">
        <x:v>3</x:v>
      </x:c>
      <x:c r="G33" t="n">
        <x:v>4</x:v>
      </x:c>
      <x:c r="H33" t="n">
        <x:v>3</x:v>
      </x:c>
      <x:c r="I33" s="12" t="n">
        <x:f t="shared" si="5">(C33*0.20)+(D33*0.20)+(E33*0.15)+(F33*0.15)+(G33*0.15)+(H33*0.15)</x:f>
        <x:v>3.5</x:v>
      </x:c>
      <x:c r="J33" t="str">
        <x:f t="shared" si="3">IF(I33&gt;=4,"Critical",IF(I33&gt;=3,"High",IF(I33&gt;=2,"Moderate","Low")))</x:f>
        <x:v>High</x:v>
      </x:c>
      <x:c r="K33" s="14" t="n">
        <x:f t="shared" si="4"/>
        <x:v>46285</x:v>
      </x:c>
      <x:c r="L33" t="str">
        <x:v>AI Governance Analyst</x:v>
      </x:c>
    </x:row>
    <x:row r="34">
      <x:c r="A34" t="str">
        <x:f t="shared" si="0"/>
        <x:v>RA033</x:v>
      </x:c>
      <x:c r="B34" t="str">
        <x:f t="shared" si="1"/>
        <x:v>AI033</x:v>
      </x:c>
      <x:c r="C34" t="n">
        <x:v>4</x:v>
      </x:c>
      <x:c r="D34" t="n">
        <x:v>5</x:v>
      </x:c>
      <x:c r="E34" t="n">
        <x:v>5</x:v>
      </x:c>
      <x:c r="F34" t="n">
        <x:v>4</x:v>
      </x:c>
      <x:c r="G34" t="n">
        <x:v>5</x:v>
      </x:c>
      <x:c r="H34" t="n">
        <x:v>4</x:v>
      </x:c>
      <x:c r="I34" s="12" t="n">
        <x:f t="shared" si="5">(C34*0.20)+(D34*0.20)+(E34*0.15)+(F34*0.15)+(G34*0.15)+(H34*0.15)</x:f>
        <x:v>4.5</x:v>
      </x:c>
      <x:c r="J34" t="str">
        <x:f t="shared" si="3">IF(I34&gt;=4,"Critical",IF(I34&gt;=3,"High",IF(I34&gt;=2,"Moderate","Low")))</x:f>
        <x:v>Critical</x:v>
      </x:c>
      <x:c r="K34" s="14" t="n">
        <x:f t="shared" si="4"/>
        <x:v>46285</x:v>
      </x:c>
      <x:c r="L34" t="str">
        <x:v>AI Governance Analyst</x:v>
      </x:c>
    </x:row>
    <x:row r="35">
      <x:c r="A35" t="str">
        <x:f t="shared" si="0"/>
        <x:v>RA034</x:v>
      </x:c>
      <x:c r="B35" t="str">
        <x:f t="shared" si="1"/>
        <x:v>AI034</x:v>
      </x:c>
      <x:c r="C35" t="n">
        <x:v>4</x:v>
      </x:c>
      <x:c r="D35" t="n">
        <x:v>2</x:v>
      </x:c>
      <x:c r="E35" t="n">
        <x:v>4</x:v>
      </x:c>
      <x:c r="F35" t="n">
        <x:v>3</x:v>
      </x:c>
      <x:c r="G35" t="n">
        <x:v>4</x:v>
      </x:c>
      <x:c r="H35" t="n">
        <x:v>3</x:v>
      </x:c>
      <x:c r="I35" s="12" t="n">
        <x:f t="shared" si="5">(C35*0.20)+(D35*0.20)+(E35*0.15)+(F35*0.15)+(G35*0.15)+(H35*0.15)</x:f>
        <x:v>3.3</x:v>
      </x:c>
      <x:c r="J35" t="str">
        <x:f t="shared" si="3">IF(I35&gt;=4,"Critical",IF(I35&gt;=3,"High",IF(I35&gt;=2,"Moderate","Low")))</x:f>
        <x:v>High</x:v>
      </x:c>
      <x:c r="K35" s="14" t="n">
        <x:f t="shared" si="4"/>
        <x:v>46285</x:v>
      </x:c>
      <x:c r="L35" t="str">
        <x:v>AI Governance Analyst</x:v>
      </x:c>
    </x:row>
    <x:row r="36">
      <x:c r="A36" t="str">
        <x:f t="shared" si="0"/>
        <x:v>RA035</x:v>
      </x:c>
      <x:c r="B36" t="str">
        <x:f t="shared" si="1"/>
        <x:v>AI035</x:v>
      </x:c>
      <x:c r="C36" t="n">
        <x:v>3</x:v>
      </x:c>
      <x:c r="D36" t="n">
        <x:v>3</x:v>
      </x:c>
      <x:c r="E36" t="n">
        <x:v>3</x:v>
      </x:c>
      <x:c r="F36" t="n">
        <x:v>3</x:v>
      </x:c>
      <x:c r="G36" t="n">
        <x:v>3</x:v>
      </x:c>
      <x:c r="H36" t="n">
        <x:v>4</x:v>
      </x:c>
      <x:c r="I36" s="12" t="n">
        <x:f t="shared" si="5">(C36*0.20)+(D36*0.20)+(E36*0.15)+(F36*0.15)+(G36*0.15)+(H36*0.15)</x:f>
        <x:v>3.15</x:v>
      </x:c>
      <x:c r="J36" t="str">
        <x:f t="shared" si="3">IF(I36&gt;=4,"Critical",IF(I36&gt;=3,"High",IF(I36&gt;=2,"Moderate","Low")))</x:f>
        <x:v>High</x:v>
      </x:c>
      <x:c r="K36" s="14" t="n">
        <x:f t="shared" si="4"/>
        <x:v>46285</x:v>
      </x:c>
      <x:c r="L36" t="str">
        <x:v>AI Governance Analyst</x:v>
      </x:c>
    </x:row>
    <x:row r="37">
      <x:c r="A37" t="str">
        <x:f t="shared" si="0"/>
        <x:v>RA036</x:v>
      </x:c>
      <x:c r="B37" t="str">
        <x:f t="shared" si="1"/>
        <x:v>AI036</x:v>
      </x:c>
      <x:c r="C37" t="n">
        <x:v>5</x:v>
      </x:c>
      <x:c r="D37" t="n">
        <x:v>1</x:v>
      </x:c>
      <x:c r="E37" t="n">
        <x:v>5</x:v>
      </x:c>
      <x:c r="F37" t="n">
        <x:v>4</x:v>
      </x:c>
      <x:c r="G37" t="n">
        <x:v>5</x:v>
      </x:c>
      <x:c r="H37" t="n">
        <x:v>4</x:v>
      </x:c>
      <x:c r="I37" s="12" t="n">
        <x:f t="shared" si="5">(C37*0.20)+(D37*0.20)+(E37*0.15)+(F37*0.15)+(G37*0.15)+(H37*0.15)</x:f>
        <x:v>3.9</x:v>
      </x:c>
      <x:c r="J37" t="str">
        <x:f t="shared" si="3">IF(I37&gt;=4,"Critical",IF(I37&gt;=3,"High",IF(I37&gt;=2,"Moderate","Low")))</x:f>
        <x:v>High</x:v>
      </x:c>
      <x:c r="K37" s="14" t="n">
        <x:f t="shared" si="4"/>
        <x:v>46285</x:v>
      </x:c>
      <x:c r="L37" t="str">
        <x:v>AI Governance Analyst</x:v>
      </x:c>
    </x:row>
    <x:row r="38">
      <x:c r="A38" t="str">
        <x:f t="shared" si="0"/>
        <x:v>RA037</x:v>
      </x:c>
      <x:c r="B38" t="str">
        <x:f t="shared" si="1"/>
        <x:v>AI037</x:v>
      </x:c>
      <x:c r="C38" t="n">
        <x:v>4</x:v>
      </x:c>
      <x:c r="D38" t="n">
        <x:v>1</x:v>
      </x:c>
      <x:c r="E38" t="n">
        <x:v>5</x:v>
      </x:c>
      <x:c r="F38" t="n">
        <x:v>5</x:v>
      </x:c>
      <x:c r="G38" t="n">
        <x:v>4</x:v>
      </x:c>
      <x:c r="H38" t="n">
        <x:v>4</x:v>
      </x:c>
      <x:c r="I38" s="12" t="n">
        <x:f t="shared" si="5">(C38*0.20)+(D38*0.20)+(E38*0.15)+(F38*0.15)+(G38*0.15)+(H38*0.15)</x:f>
        <x:v>3.7</x:v>
      </x:c>
      <x:c r="J38" t="str">
        <x:f t="shared" si="3">IF(I38&gt;=4,"Critical",IF(I38&gt;=3,"High",IF(I38&gt;=2,"Moderate","Low")))</x:f>
        <x:v>High</x:v>
      </x:c>
      <x:c r="K38" s="14" t="n">
        <x:f t="shared" si="4"/>
        <x:v>46285</x:v>
      </x:c>
      <x:c r="L38" t="str">
        <x:v>AI Governance Analyst</x:v>
      </x:c>
    </x:row>
    <x:row r="39">
      <x:c r="A39" t="str">
        <x:f t="shared" si="0"/>
        <x:v>RA038</x:v>
      </x:c>
      <x:c r="B39" t="str">
        <x:f t="shared" si="1"/>
        <x:v>AI038</x:v>
      </x:c>
      <x:c r="C39" t="n">
        <x:v>5</x:v>
      </x:c>
      <x:c r="D39" t="n">
        <x:v>2</x:v>
      </x:c>
      <x:c r="E39" t="n">
        <x:v>5</x:v>
      </x:c>
      <x:c r="F39" t="n">
        <x:v>5</x:v>
      </x:c>
      <x:c r="G39" t="n">
        <x:v>4</x:v>
      </x:c>
      <x:c r="H39" t="n">
        <x:v>3</x:v>
      </x:c>
      <x:c r="I39" s="12" t="n">
        <x:f t="shared" si="5">(C39*0.20)+(D39*0.20)+(E39*0.15)+(F39*0.15)+(G39*0.15)+(H39*0.15)</x:f>
        <x:v>3.95</x:v>
      </x:c>
      <x:c r="J39" t="str">
        <x:f t="shared" si="3">IF(I39&gt;=4,"Critical",IF(I39&gt;=3,"High",IF(I39&gt;=2,"Moderate","Low")))</x:f>
        <x:v>High</x:v>
      </x:c>
      <x:c r="K39" s="14" t="n">
        <x:f t="shared" si="4"/>
        <x:v>46285</x:v>
      </x:c>
      <x:c r="L39" t="str">
        <x:v>AI Governance Analyst</x:v>
      </x:c>
    </x:row>
    <x:row r="40">
      <x:c r="A40" t="str">
        <x:f t="shared" si="0"/>
        <x:v>RA039</x:v>
      </x:c>
      <x:c r="B40" t="str">
        <x:f t="shared" si="1"/>
        <x:v>AI039</x:v>
      </x:c>
      <x:c r="C40" t="n">
        <x:v>2</x:v>
      </x:c>
      <x:c r="D40" t="n">
        <x:v>1</x:v>
      </x:c>
      <x:c r="E40" t="n">
        <x:v>3</x:v>
      </x:c>
      <x:c r="F40" t="n">
        <x:v>5</x:v>
      </x:c>
      <x:c r="G40" t="n">
        <x:v>3</x:v>
      </x:c>
      <x:c r="H40" t="n">
        <x:v>3</x:v>
      </x:c>
      <x:c r="I40" s="12" t="n">
        <x:f t="shared" si="5">(C40*0.20)+(D40*0.20)+(E40*0.15)+(F40*0.15)+(G40*0.15)+(H40*0.15)</x:f>
        <x:v>2.7</x:v>
      </x:c>
      <x:c r="J40" t="str">
        <x:f t="shared" si="3">IF(I40&gt;=4,"Critical",IF(I40&gt;=3,"High",IF(I40&gt;=2,"Moderate","Low")))</x:f>
        <x:v>Moderate</x:v>
      </x:c>
      <x:c r="K40" s="14" t="n">
        <x:f t="shared" si="4"/>
        <x:v>46285</x:v>
      </x:c>
      <x:c r="L40" t="str">
        <x:v>AI Governance Analyst</x:v>
      </x:c>
    </x:row>
    <x:row r="41">
      <x:c r="A41" t="str">
        <x:f t="shared" si="0"/>
        <x:v>RA040</x:v>
      </x:c>
      <x:c r="B41" t="str">
        <x:f t="shared" si="1"/>
        <x:v>AI040</x:v>
      </x:c>
      <x:c r="C41" t="n">
        <x:v>2</x:v>
      </x:c>
      <x:c r="D41" t="n">
        <x:v>2</x:v>
      </x:c>
      <x:c r="E41" t="n">
        <x:v>3</x:v>
      </x:c>
      <x:c r="F41" t="n">
        <x:v>4</x:v>
      </x:c>
      <x:c r="G41" t="n">
        <x:v>4</x:v>
      </x:c>
      <x:c r="H41" t="n">
        <x:v>3</x:v>
      </x:c>
      <x:c r="I41" s="12" t="n">
        <x:f t="shared" si="5">(C41*0.20)+(D41*0.20)+(E41*0.15)+(F41*0.15)+(G41*0.15)+(H41*0.15)</x:f>
        <x:v>2.9000000000000004</x:v>
      </x:c>
      <x:c r="J41" t="str">
        <x:f t="shared" si="3">IF(I41&gt;=4,"Critical",IF(I41&gt;=3,"High",IF(I41&gt;=2,"Moderate","Low")))</x:f>
        <x:v>Moderate</x:v>
      </x:c>
      <x:c r="K41" s="14" t="n">
        <x:f t="shared" si="4"/>
        <x:v>46285</x:v>
      </x:c>
      <x:c r="L41" t="str">
        <x:v>AI Governance Analyst</x:v>
      </x:c>
    </x:row>
    <x:row r="42">
      <x:c r="A42" t="str">
        <x:f t="shared" si="0"/>
        <x:v>RA041</x:v>
      </x:c>
      <x:c r="B42" t="str">
        <x:f t="shared" si="1"/>
        <x:v>AI041</x:v>
      </x:c>
      <x:c r="C42" t="n">
        <x:v>2</x:v>
      </x:c>
      <x:c r="D42" t="n">
        <x:v>1</x:v>
      </x:c>
      <x:c r="E42" t="n">
        <x:v>2</x:v>
      </x:c>
      <x:c r="F42" t="n">
        <x:v>2</x:v>
      </x:c>
      <x:c r="G42" t="n">
        <x:v>3</x:v>
      </x:c>
      <x:c r="H42" t="n">
        <x:v>2</x:v>
      </x:c>
      <x:c r="I42" s="12" t="n">
        <x:f t="shared" si="5">(C42*0.20)+(D42*0.20)+(E42*0.15)+(F42*0.15)+(G42*0.15)+(H42*0.15)</x:f>
        <x:v>1.9500000000000002</x:v>
      </x:c>
      <x:c r="J42" t="str">
        <x:f t="shared" si="3">IF(I42&gt;=4,"Critical",IF(I42&gt;=3,"High",IF(I42&gt;=2,"Moderate","Low")))</x:f>
        <x:v>Low</x:v>
      </x:c>
      <x:c r="K42" s="14" t="n">
        <x:f t="shared" si="4"/>
        <x:v>46285</x:v>
      </x:c>
      <x:c r="L42" t="str">
        <x:v>AI Governance Analyst</x:v>
      </x:c>
    </x:row>
    <x:row r="43">
      <x:c r="A43" t="str">
        <x:f t="shared" si="0"/>
        <x:v>RA042</x:v>
      </x:c>
      <x:c r="B43" t="str">
        <x:f t="shared" si="1"/>
        <x:v>AI042</x:v>
      </x:c>
      <x:c r="C43" t="n">
        <x:v>4</x:v>
      </x:c>
      <x:c r="D43" t="n">
        <x:v>3</x:v>
      </x:c>
      <x:c r="E43" t="n">
        <x:v>3</x:v>
      </x:c>
      <x:c r="F43" t="n">
        <x:v>3</x:v>
      </x:c>
      <x:c r="G43" t="n">
        <x:v>4</x:v>
      </x:c>
      <x:c r="H43" t="n">
        <x:v>3</x:v>
      </x:c>
      <x:c r="I43" s="12" t="n">
        <x:f t="shared" si="5">(C43*0.20)+(D43*0.20)+(E43*0.15)+(F43*0.15)+(G43*0.15)+(H43*0.15)</x:f>
        <x:v>3.3499999999999996</x:v>
      </x:c>
      <x:c r="J43" t="str">
        <x:f t="shared" si="3">IF(I43&gt;=4,"Critical",IF(I43&gt;=3,"High",IF(I43&gt;=2,"Moderate","Low")))</x:f>
        <x:v>High</x:v>
      </x:c>
      <x:c r="K43" s="14" t="n">
        <x:f t="shared" si="4"/>
        <x:v>46285</x:v>
      </x:c>
      <x:c r="L43" t="str">
        <x:v>AI Governance Analyst</x:v>
      </x:c>
    </x:row>
    <x:row r="44">
      <x:c r="A44" t="str">
        <x:f t="shared" si="0"/>
        <x:v>RA043</x:v>
      </x:c>
      <x:c r="B44" t="str">
        <x:f t="shared" si="1"/>
        <x:v>AI043</x:v>
      </x:c>
      <x:c r="C44" t="n">
        <x:v>1</x:v>
      </x:c>
      <x:c r="D44" t="n">
        <x:v>2</x:v>
      </x:c>
      <x:c r="E44" t="n">
        <x:v>2</x:v>
      </x:c>
      <x:c r="F44" t="n">
        <x:v>2</x:v>
      </x:c>
      <x:c r="G44" t="n">
        <x:v>3</x:v>
      </x:c>
      <x:c r="H44" t="n">
        <x:v>3</x:v>
      </x:c>
      <x:c r="I44" s="12" t="n">
        <x:f t="shared" si="5">(C44*0.20)+(D44*0.20)+(E44*0.15)+(F44*0.15)+(G44*0.15)+(H44*0.15)</x:f>
        <x:v>2.1</x:v>
      </x:c>
      <x:c r="J44" t="str">
        <x:f t="shared" si="3">IF(I44&gt;=4,"Critical",IF(I44&gt;=3,"High",IF(I44&gt;=2,"Moderate","Low")))</x:f>
        <x:v>Moderate</x:v>
      </x:c>
      <x:c r="K44" s="14" t="n">
        <x:f t="shared" si="4"/>
        <x:v>46285</x:v>
      </x:c>
      <x:c r="L44" t="str">
        <x:v>AI Governance Analyst</x:v>
      </x:c>
    </x:row>
    <x:row r="45">
      <x:c r="A45" t="str">
        <x:f t="shared" si="0"/>
        <x:v>RA044</x:v>
      </x:c>
      <x:c r="B45" t="str">
        <x:f t="shared" si="1"/>
        <x:v>AI044</x:v>
      </x:c>
      <x:c r="C45" t="n">
        <x:v>2</x:v>
      </x:c>
      <x:c r="D45" t="n">
        <x:v>1</x:v>
      </x:c>
      <x:c r="E45" t="n">
        <x:v>4</x:v>
      </x:c>
      <x:c r="F45" t="n">
        <x:v>5</x:v>
      </x:c>
      <x:c r="G45" t="n">
        <x:v>3</x:v>
      </x:c>
      <x:c r="H45" t="n">
        <x:v>3</x:v>
      </x:c>
      <x:c r="I45" s="12" t="n">
        <x:f t="shared" si="5">(C45*0.20)+(D45*0.20)+(E45*0.15)+(F45*0.15)+(G45*0.15)+(H45*0.15)</x:f>
        <x:v>2.8500000000000005</x:v>
      </x:c>
      <x:c r="J45" t="str">
        <x:f t="shared" si="3">IF(I45&gt;=4,"Critical",IF(I45&gt;=3,"High",IF(I45&gt;=2,"Moderate","Low")))</x:f>
        <x:v>Moderate</x:v>
      </x:c>
      <x:c r="K45" s="14" t="n">
        <x:f t="shared" si="4"/>
        <x:v>46285</x:v>
      </x:c>
      <x:c r="L45" t="str">
        <x:v>AI Governance Analyst</x:v>
      </x:c>
    </x:row>
    <x:row r="46">
      <x:c r="A46" t="str">
        <x:f t="shared" si="0"/>
        <x:v>RA045</x:v>
      </x:c>
      <x:c r="B46" t="str">
        <x:f t="shared" si="1"/>
        <x:v>AI045</x:v>
      </x:c>
      <x:c r="C46" t="n">
        <x:v>5</x:v>
      </x:c>
      <x:c r="D46" t="n">
        <x:v>1</x:v>
      </x:c>
      <x:c r="E46" t="n">
        <x:v>5</x:v>
      </x:c>
      <x:c r="F46" t="n">
        <x:v>4</x:v>
      </x:c>
      <x:c r="G46" t="n">
        <x:v>5</x:v>
      </x:c>
      <x:c r="H46" t="n">
        <x:v>3</x:v>
      </x:c>
      <x:c r="I46" s="12" t="n">
        <x:f t="shared" si="5">(C46*0.20)+(D46*0.20)+(E46*0.15)+(F46*0.15)+(G46*0.15)+(H46*0.15)</x:f>
        <x:v>3.75</x:v>
      </x:c>
      <x:c r="J46" t="str">
        <x:f t="shared" si="3">IF(I46&gt;=4,"Critical",IF(I46&gt;=3,"High",IF(I46&gt;=2,"Moderate","Low")))</x:f>
        <x:v>High</x:v>
      </x:c>
      <x:c r="K46" s="14" t="n">
        <x:f t="shared" si="4"/>
        <x:v>46285</x:v>
      </x:c>
      <x:c r="L46" t="str">
        <x:v>AI Governance Analyst</x:v>
      </x:c>
    </x:row>
    <x:row r="47">
      <x:c r="A47" t="str">
        <x:f t="shared" si="0"/>
        <x:v>RA046</x:v>
      </x:c>
      <x:c r="B47" t="str">
        <x:f t="shared" si="1"/>
        <x:v>AI046</x:v>
      </x:c>
      <x:c r="C47" t="n">
        <x:v>5</x:v>
      </x:c>
      <x:c r="D47" t="n">
        <x:v>5</x:v>
      </x:c>
      <x:c r="E47" t="n">
        <x:v>4</x:v>
      </x:c>
      <x:c r="F47" t="n">
        <x:v>4</x:v>
      </x:c>
      <x:c r="G47" t="n">
        <x:v>5</x:v>
      </x:c>
      <x:c r="H47" t="n">
        <x:v>4</x:v>
      </x:c>
      <x:c r="I47" s="12" t="n">
        <x:f t="shared" si="5">(C47*0.20)+(D47*0.20)+(E47*0.15)+(F47*0.15)+(G47*0.15)+(H47*0.15)</x:f>
        <x:v>4.55</x:v>
      </x:c>
      <x:c r="J47" t="str">
        <x:f t="shared" si="3">IF(I47&gt;=4,"Critical",IF(I47&gt;=3,"High",IF(I47&gt;=2,"Moderate","Low")))</x:f>
        <x:v>Critical</x:v>
      </x:c>
      <x:c r="K47" s="14" t="n">
        <x:f t="shared" si="4"/>
        <x:v>46285</x:v>
      </x:c>
      <x:c r="L47" t="str">
        <x:v>AI Governance Analyst</x:v>
      </x:c>
    </x:row>
    <x:row r="48">
      <x:c r="A48" t="str">
        <x:f t="shared" si="0"/>
        <x:v>RA047</x:v>
      </x:c>
      <x:c r="B48" t="str">
        <x:f t="shared" si="1"/>
        <x:v>AI047</x:v>
      </x:c>
      <x:c r="C48" t="n">
        <x:v>4</x:v>
      </x:c>
      <x:c r="D48" t="n">
        <x:v>4</x:v>
      </x:c>
      <x:c r="E48" t="n">
        <x:v>3</x:v>
      </x:c>
      <x:c r="F48" t="n">
        <x:v>3</x:v>
      </x:c>
      <x:c r="G48" t="n">
        <x:v>4</x:v>
      </x:c>
      <x:c r="H48" t="n">
        <x:v>4</x:v>
      </x:c>
      <x:c r="I48" s="12" t="n">
        <x:f t="shared" si="5">(C48*0.20)+(D48*0.20)+(E48*0.15)+(F48*0.15)+(G48*0.15)+(H48*0.15)</x:f>
        <x:v>3.7</x:v>
      </x:c>
      <x:c r="J48" t="str">
        <x:f t="shared" si="3">IF(I48&gt;=4,"Critical",IF(I48&gt;=3,"High",IF(I48&gt;=2,"Moderate","Low")))</x:f>
        <x:v>High</x:v>
      </x:c>
      <x:c r="K48" s="14" t="n">
        <x:f t="shared" si="4"/>
        <x:v>46285</x:v>
      </x:c>
      <x:c r="L48" t="str">
        <x:v>AI Governance Analyst</x:v>
      </x:c>
    </x:row>
    <x:row r="49">
      <x:c r="A49" t="str">
        <x:f t="shared" si="0"/>
        <x:v>RA048</x:v>
      </x:c>
      <x:c r="B49" t="str">
        <x:f t="shared" si="1"/>
        <x:v>AI048</x:v>
      </x:c>
      <x:c r="C49" t="n">
        <x:v>1</x:v>
      </x:c>
      <x:c r="D49" t="n">
        <x:v>1</x:v>
      </x:c>
      <x:c r="E49" t="n">
        <x:v>4</x:v>
      </x:c>
      <x:c r="F49" t="n">
        <x:v>5</x:v>
      </x:c>
      <x:c r="G49" t="n">
        <x:v>3</x:v>
      </x:c>
      <x:c r="H49" t="n">
        <x:v>4</x:v>
      </x:c>
      <x:c r="I49" s="12" t="n">
        <x:f t="shared" si="5">(C49*0.20)+(D49*0.20)+(E49*0.15)+(F49*0.15)+(G49*0.15)+(H49*0.15)</x:f>
        <x:v>2.8000000000000003</x:v>
      </x:c>
      <x:c r="J49" t="str">
        <x:f t="shared" si="3">IF(I49&gt;=4,"Critical",IF(I49&gt;=3,"High",IF(I49&gt;=2,"Moderate","Low")))</x:f>
        <x:v>Moderate</x:v>
      </x:c>
      <x:c r="K49" s="14" t="n">
        <x:f t="shared" si="4"/>
        <x:v>46285</x:v>
      </x:c>
      <x:c r="L49" t="str">
        <x:v>AI Governance Analyst</x:v>
      </x:c>
    </x:row>
    <x:row r="50">
      <x:c r="A50" t="str">
        <x:f t="shared" si="0"/>
        <x:v>RA049</x:v>
      </x:c>
      <x:c r="B50" t="str">
        <x:f t="shared" si="1"/>
        <x:v>AI049</x:v>
      </x:c>
      <x:c r="C50" t="n">
        <x:v>4</x:v>
      </x:c>
      <x:c r="D50" t="n">
        <x:v>2</x:v>
      </x:c>
      <x:c r="E50" t="n">
        <x:v>4</x:v>
      </x:c>
      <x:c r="F50" t="n">
        <x:v>5</x:v>
      </x:c>
      <x:c r="G50" t="n">
        <x:v>3</x:v>
      </x:c>
      <x:c r="H50" t="n">
        <x:v>4</x:v>
      </x:c>
      <x:c r="I50" s="12" t="n">
        <x:f t="shared" si="5">(C50*0.20)+(D50*0.20)+(E50*0.15)+(F50*0.15)+(G50*0.15)+(H50*0.15)</x:f>
        <x:v>3.6</x:v>
      </x:c>
      <x:c r="J50" t="str">
        <x:f t="shared" si="3">IF(I50&gt;=4,"Critical",IF(I50&gt;=3,"High",IF(I50&gt;=2,"Moderate","Low")))</x:f>
        <x:v>High</x:v>
      </x:c>
      <x:c r="K50" s="14" t="n">
        <x:f t="shared" si="4"/>
        <x:v>46285</x:v>
      </x:c>
      <x:c r="L50" t="str">
        <x:v>AI Governance Analyst</x:v>
      </x:c>
    </x:row>
    <x:row r="51">
      <x:c r="A51" t="str">
        <x:f t="shared" si="0"/>
        <x:v>RA050</x:v>
      </x:c>
      <x:c r="B51" t="str">
        <x:f t="shared" si="1"/>
        <x:v>AI050</x:v>
      </x:c>
      <x:c r="C51" t="n">
        <x:v>5</x:v>
      </x:c>
      <x:c r="D51" t="n">
        <x:v>1</x:v>
      </x:c>
      <x:c r="E51" t="n">
        <x:v>5</x:v>
      </x:c>
      <x:c r="F51" t="n">
        <x:v>4</x:v>
      </x:c>
      <x:c r="G51" t="n">
        <x:v>5</x:v>
      </x:c>
      <x:c r="H51" t="n">
        <x:v>4</x:v>
      </x:c>
      <x:c r="I51" s="12" t="n">
        <x:f t="shared" si="5">(C51*0.20)+(D51*0.20)+(E51*0.15)+(F51*0.15)+(G51*0.15)+(H51*0.15)</x:f>
        <x:v>3.9</x:v>
      </x:c>
      <x:c r="J51" t="str">
        <x:f t="shared" si="3">IF(I51&gt;=4,"Critical",IF(I51&gt;=3,"High",IF(I51&gt;=2,"Moderate","Low")))</x:f>
        <x:v>High</x:v>
      </x:c>
      <x:c r="K51" s="14" t="n">
        <x:f t="shared" si="4"/>
        <x:v>46285</x:v>
      </x:c>
      <x:c r="L51" t="str">
        <x:v>AI Governance Analyst</x:v>
      </x:c>
    </x:row>
    <x:row r="52">
      <x:c r="C52"/>
      <x:c r="D52"/>
      <x:c r="E52"/>
      <x:c r="F52"/>
      <x:c r="G52"/>
      <x:c r="H52"/>
      <x:c r="I52" s="1">
        <x:f t="shared" si="5"/>
      </x:c>
      <x:c r="J52">
        <x:f t="shared" si="3"/>
      </x:c>
      <x:c r="K52" s="2"/>
      <x:c r="L52"/>
    </x:row>
  </x:sheetData>
  <x:pageMargins left="0.7" right="0.7" top="0.75" bottom="0.75" header="0.3" footer="0.3"/>
  <x:tableParts count="1">
    <x:tablePart xmlns:r="http://schemas.openxmlformats.org/officeDocument/2006/relationships" r:id="R54bae9fd6eb14422"/>
  </x:tableParts>
</x:worksheet>
</file>

<file path=xl/worksheets/sheet4.xml><?xml version="1.0" encoding="utf-8"?>
<x:worksheet xmlns:x="http://schemas.openxmlformats.org/spreadsheetml/2006/main">
  <x:sheetFormatPr defaultColWidth="27.109375" defaultRowHeight="14.399999618530273"/>
  <x:sheetData>
    <x:row r="1">
      <x:c r="A1" t="s">
        <x:v>222</x:v>
      </x:c>
      <x:c r="B1" t="s">
        <x:v>22</x:v>
      </x:c>
      <x:c r="C1" t="s">
        <x:v>223</x:v>
      </x:c>
      <x:c r="D1" t="s">
        <x:v>224</x:v>
      </x:c>
      <x:c r="E1" t="s">
        <x:v>225</x:v>
      </x:c>
      <x:c r="F1" t="s">
        <x:v>226</x:v>
      </x:c>
      <x:c r="G1" t="s">
        <x:v>227</x:v>
      </x:c>
      <x:c r="H1" t="s">
        <x:v>228</x:v>
      </x:c>
      <x:c r="I1" t="s">
        <x:v>229</x:v>
      </x:c>
      <x:c r="J1" t="s">
        <x:v>230</x:v>
      </x:c>
    </x:row>
    <x:row r="2">
      <x:c r="A2" t="s">
        <x:v>231</x:v>
      </x:c>
      <x:c r="B2" t="s">
        <x:v>232</x:v>
      </x:c>
      <x:c r="C2" t="s">
        <x:v>233</x:v>
      </x:c>
      <x:c r="D2" t="s">
        <x:v>234</x:v>
      </x:c>
      <x:c r="E2" t="s">
        <x:v>235</x:v>
      </x:c>
      <x:c r="F2" t="s">
        <x:v>236</x:v>
      </x:c>
      <x:c r="G2" t="s">
        <x:v>44</x:v>
      </x:c>
      <x:c r="H2" s="2">
        <x:v>45366</x:v>
      </x:c>
      <x:c r="I2" s="2">
        <x:v>46185</x:v>
      </x:c>
      <x:c r="J2" s="2">
        <x:v>46368</x:v>
      </x:c>
    </x:row>
    <x:row r="3">
      <x:c r="A3" t="s">
        <x:v>237</x:v>
      </x:c>
      <x:c r="B3" t="s">
        <x:v>232</x:v>
      </x:c>
      <x:c r="C3" t="s">
        <x:v>238</x:v>
      </x:c>
      <x:c r="D3" t="s">
        <x:v>239</x:v>
      </x:c>
      <x:c r="E3" t="s">
        <x:v>84</x:v>
      </x:c>
      <x:c r="F3" t="s">
        <x:v>240</x:v>
      </x:c>
      <x:c r="G3" t="s">
        <x:v>198</x:v>
      </x:c>
      <x:c r="H3" s="2">
        <x:v>45667</x:v>
      </x:c>
      <x:c r="I3" s="2">
        <x:v>46185</x:v>
      </x:c>
      <x:c r="J3" s="2">
        <x:v>46295</x:v>
      </x:c>
    </x:row>
    <x:row r="4">
      <x:c r="A4" t="s">
        <x:v>241</x:v>
      </x:c>
      <x:c r="B4" t="s">
        <x:v>232</x:v>
      </x:c>
      <x:c r="C4" t="s">
        <x:v>242</x:v>
      </x:c>
      <x:c r="D4" t="s">
        <x:v>243</x:v>
      </x:c>
      <x:c r="E4" t="s">
        <x:v>244</x:v>
      </x:c>
      <x:c r="F4" t="s">
        <x:v>245</x:v>
      </x:c>
      <x:c r="G4" t="s">
        <x:v>44</x:v>
      </x:c>
      <x:c r="H4" s="2"/>
      <x:c r="I4" s="2"/>
      <x:c r="J4" s="2">
        <x:v>46310</x:v>
      </x:c>
    </x:row>
    <x:row r="5">
      <x:c r="A5" t="s">
        <x:v>246</x:v>
      </x:c>
      <x:c r="B5" t="s">
        <x:v>247</x:v>
      </x:c>
      <x:c r="C5" t="s">
        <x:v>233</x:v>
      </x:c>
      <x:c r="D5" t="s">
        <x:v>248</x:v>
      </x:c>
      <x:c r="E5" t="s">
        <x:v>235</x:v>
      </x:c>
      <x:c r="F5" t="s">
        <x:v>236</x:v>
      </x:c>
      <x:c r="G5" t="s">
        <x:v>51</x:v>
      </x:c>
      <x:c r="H5" s="2">
        <x:v>45536</x:v>
      </x:c>
      <x:c r="I5" s="2">
        <x:v>46162</x:v>
      </x:c>
      <x:c r="J5" s="2">
        <x:v>46346</x:v>
      </x:c>
    </x:row>
    <x:row r="6">
      <x:c r="A6" t="s">
        <x:v>249</x:v>
      </x:c>
      <x:c r="B6" t="s">
        <x:v>247</x:v>
      </x:c>
      <x:c r="C6" t="s">
        <x:v>238</x:v>
      </x:c>
      <x:c r="D6" t="s">
        <x:v>250</x:v>
      </x:c>
      <x:c r="E6" t="s">
        <x:v>84</x:v>
      </x:c>
      <x:c r="F6" t="s">
        <x:v>240</x:v>
      </x:c>
      <x:c r="G6" t="s">
        <x:v>51</x:v>
      </x:c>
      <x:c r="H6" s="2">
        <x:v>45702</x:v>
      </x:c>
      <x:c r="I6" s="2">
        <x:v>46162</x:v>
      </x:c>
      <x:c r="J6" s="2">
        <x:v>46346</x:v>
      </x:c>
    </x:row>
    <x:row r="7">
      <x:c r="A7" t="s">
        <x:v>251</x:v>
      </x:c>
      <x:c r="B7" t="s">
        <x:v>247</x:v>
      </x:c>
      <x:c r="C7" t="s">
        <x:v>252</x:v>
      </x:c>
      <x:c r="D7" t="s">
        <x:v>253</x:v>
      </x:c>
      <x:c r="E7" t="s">
        <x:v>235</x:v>
      </x:c>
      <x:c r="F7" t="s">
        <x:v>236</x:v>
      </x:c>
      <x:c r="G7" t="s">
        <x:v>51</x:v>
      </x:c>
      <x:c r="H7" s="2">
        <x:v>45566</x:v>
      </x:c>
      <x:c r="I7" s="2">
        <x:v>46235</x:v>
      </x:c>
      <x:c r="J7" s="2">
        <x:v>46295</x:v>
      </x:c>
    </x:row>
    <x:row r="8">
      <x:c r="A8" t="s">
        <x:v>254</x:v>
      </x:c>
      <x:c r="B8" t="s">
        <x:v>255</x:v>
      </x:c>
      <x:c r="C8" t="s">
        <x:v>256</x:v>
      </x:c>
      <x:c r="D8" t="s">
        <x:v>257</x:v>
      </x:c>
      <x:c r="E8" t="s">
        <x:v>235</x:v>
      </x:c>
      <x:c r="F8" t="s">
        <x:v>236</x:v>
      </x:c>
      <x:c r="G8" t="s">
        <x:v>57</x:v>
      </x:c>
      <x:c r="H8" s="2">
        <x:v>45087</x:v>
      </x:c>
      <x:c r="I8" s="2">
        <x:v>46221</x:v>
      </x:c>
      <x:c r="J8" s="2">
        <x:v>46313</x:v>
      </x:c>
    </x:row>
    <x:row r="9">
      <x:c r="A9" t="s">
        <x:v>258</x:v>
      </x:c>
      <x:c r="B9" t="s">
        <x:v>255</x:v>
      </x:c>
      <x:c r="C9" t="s">
        <x:v>233</x:v>
      </x:c>
      <x:c r="D9" t="s">
        <x:v>259</x:v>
      </x:c>
      <x:c r="E9" t="s">
        <x:v>235</x:v>
      </x:c>
      <x:c r="F9" t="s">
        <x:v>236</x:v>
      </x:c>
      <x:c r="G9" t="s">
        <x:v>57</x:v>
      </x:c>
      <x:c r="H9" s="2">
        <x:v>45087</x:v>
      </x:c>
      <x:c r="I9" s="2">
        <x:v>46221</x:v>
      </x:c>
      <x:c r="J9" s="2">
        <x:v>46313</x:v>
      </x:c>
    </x:row>
    <x:row r="10">
      <x:c r="A10" t="s">
        <x:v>260</x:v>
      </x:c>
      <x:c r="B10" t="s">
        <x:v>255</x:v>
      </x:c>
      <x:c r="C10" t="s">
        <x:v>252</x:v>
      </x:c>
      <x:c r="D10" t="s">
        <x:v>261</x:v>
      </x:c>
      <x:c r="E10" t="s">
        <x:v>84</x:v>
      </x:c>
      <x:c r="F10" t="s">
        <x:v>240</x:v>
      </x:c>
      <x:c r="G10" t="s">
        <x:v>262</x:v>
      </x:c>
      <x:c r="H10" s="2">
        <x:v>45717</x:v>
      </x:c>
      <x:c r="I10" s="2">
        <x:v>46221</x:v>
      </x:c>
      <x:c r="J10" s="2">
        <x:v>46313</x:v>
      </x:c>
    </x:row>
    <x:row r="11">
      <x:c r="A11" t="s">
        <x:v>263</x:v>
      </x:c>
      <x:c r="B11" t="s">
        <x:v>264</x:v>
      </x:c>
      <x:c r="C11" t="s">
        <x:v>233</x:v>
      </x:c>
      <x:c r="D11" t="s">
        <x:v>265</x:v>
      </x:c>
      <x:c r="E11" t="s">
        <x:v>235</x:v>
      </x:c>
      <x:c r="F11" t="s">
        <x:v>236</x:v>
      </x:c>
      <x:c r="G11" t="s">
        <x:v>61</x:v>
      </x:c>
      <x:c r="H11" s="2">
        <x:v>45235</x:v>
      </x:c>
      <x:c r="I11" s="2">
        <x:v>46134</x:v>
      </x:c>
      <x:c r="J11" s="2">
        <x:v>46317</x:v>
      </x:c>
    </x:row>
    <x:row r="12">
      <x:c r="A12" t="s">
        <x:v>266</x:v>
      </x:c>
      <x:c r="B12" t="s">
        <x:v>264</x:v>
      </x:c>
      <x:c r="C12" t="s">
        <x:v>256</x:v>
      </x:c>
      <x:c r="D12" t="s">
        <x:v>267</x:v>
      </x:c>
      <x:c r="E12" t="s">
        <x:v>235</x:v>
      </x:c>
      <x:c r="F12" t="s">
        <x:v>236</x:v>
      </x:c>
      <x:c r="G12" t="s">
        <x:v>61</x:v>
      </x:c>
      <x:c r="H12" s="2">
        <x:v>45306</x:v>
      </x:c>
      <x:c r="I12" s="2">
        <x:v>46218</x:v>
      </x:c>
      <x:c r="J12" s="2">
        <x:v>46310</x:v>
      </x:c>
    </x:row>
    <x:row r="13">
      <x:c r="A13" t="s">
        <x:v>268</x:v>
      </x:c>
      <x:c r="B13" t="s">
        <x:v>264</x:v>
      </x:c>
      <x:c r="C13" t="s">
        <x:v>252</x:v>
      </x:c>
      <x:c r="D13" t="s">
        <x:v>269</x:v>
      </x:c>
      <x:c r="E13" t="s">
        <x:v>235</x:v>
      </x:c>
      <x:c r="F13" t="s">
        <x:v>236</x:v>
      </x:c>
      <x:c r="G13" t="s">
        <x:v>270</x:v>
      </x:c>
      <x:c r="H13" s="2">
        <x:v>45323</x:v>
      </x:c>
      <x:c r="I13" s="2">
        <x:v>46235</x:v>
      </x:c>
      <x:c r="J13" s="2">
        <x:v>46327</x:v>
      </x:c>
    </x:row>
    <x:row r="14">
      <x:c r="A14" t="s">
        <x:v>271</x:v>
      </x:c>
      <x:c r="B14" t="s">
        <x:v>272</x:v>
      </x:c>
      <x:c r="C14" t="s">
        <x:v>256</x:v>
      </x:c>
      <x:c r="D14" t="s">
        <x:v>273</x:v>
      </x:c>
      <x:c r="E14" t="s">
        <x:v>235</x:v>
      </x:c>
      <x:c r="F14" t="s">
        <x:v>236</x:v>
      </x:c>
      <x:c r="G14" t="s">
        <x:v>67</x:v>
      </x:c>
      <x:c r="H14" s="2">
        <x:v>45309</x:v>
      </x:c>
      <x:c r="I14" s="2">
        <x:v>46239</x:v>
      </x:c>
      <x:c r="J14" s="2">
        <x:v>46331</x:v>
      </x:c>
    </x:row>
    <x:row r="15">
      <x:c r="A15" t="s">
        <x:v>274</x:v>
      </x:c>
      <x:c r="B15" t="s">
        <x:v>272</x:v>
      </x:c>
      <x:c r="C15" t="s">
        <x:v>233</x:v>
      </x:c>
      <x:c r="D15" t="s">
        <x:v>275</x:v>
      </x:c>
      <x:c r="E15" t="s">
        <x:v>235</x:v>
      </x:c>
      <x:c r="F15" t="s">
        <x:v>236</x:v>
      </x:c>
      <x:c r="G15" t="s">
        <x:v>67</x:v>
      </x:c>
      <x:c r="H15" s="2">
        <x:v>45309</x:v>
      </x:c>
      <x:c r="I15" s="2">
        <x:v>46239</x:v>
      </x:c>
      <x:c r="J15" s="2">
        <x:v>46331</x:v>
      </x:c>
    </x:row>
    <x:row r="16">
      <x:c r="A16" t="s">
        <x:v>276</x:v>
      </x:c>
      <x:c r="B16" t="s">
        <x:v>272</x:v>
      </x:c>
      <x:c r="C16" t="s">
        <x:v>252</x:v>
      </x:c>
      <x:c r="D16" t="s">
        <x:v>277</x:v>
      </x:c>
      <x:c r="E16" t="s">
        <x:v>235</x:v>
      </x:c>
      <x:c r="F16" t="s">
        <x:v>236</x:v>
      </x:c>
      <x:c r="G16" t="s">
        <x:v>111</x:v>
      </x:c>
      <x:c r="H16" s="2">
        <x:v>45361</x:v>
      </x:c>
      <x:c r="I16" s="2">
        <x:v>46239</x:v>
      </x:c>
      <x:c r="J16" s="2">
        <x:v>46331</x:v>
      </x:c>
    </x:row>
    <x:row r="17">
      <x:c r="A17" t="s">
        <x:v>278</x:v>
      </x:c>
      <x:c r="B17" t="s">
        <x:v>279</x:v>
      </x:c>
      <x:c r="C17" t="s">
        <x:v>256</x:v>
      </x:c>
      <x:c r="D17" t="s">
        <x:v>280</x:v>
      </x:c>
      <x:c r="E17" t="s">
        <x:v>235</x:v>
      </x:c>
      <x:c r="F17" t="s">
        <x:v>236</x:v>
      </x:c>
      <x:c r="G17" t="s">
        <x:v>71</x:v>
      </x:c>
      <x:c r="H17" s="2">
        <x:v>45159</x:v>
      </x:c>
      <x:c r="I17" s="2">
        <x:v>46153</x:v>
      </x:c>
      <x:c r="J17" s="2">
        <x:v>46337</x:v>
      </x:c>
    </x:row>
    <x:row r="18">
      <x:c r="A18" t="s">
        <x:v>281</x:v>
      </x:c>
      <x:c r="B18" t="s">
        <x:v>279</x:v>
      </x:c>
      <x:c r="C18" t="s">
        <x:v>233</x:v>
      </x:c>
      <x:c r="D18" t="s">
        <x:v>282</x:v>
      </x:c>
      <x:c r="E18" t="s">
        <x:v>235</x:v>
      </x:c>
      <x:c r="F18" t="s">
        <x:v>236</x:v>
      </x:c>
      <x:c r="G18" t="s">
        <x:v>71</x:v>
      </x:c>
      <x:c r="H18" s="2">
        <x:v>45159</x:v>
      </x:c>
      <x:c r="I18" s="2">
        <x:v>46153</x:v>
      </x:c>
      <x:c r="J18" s="2">
        <x:v>46337</x:v>
      </x:c>
    </x:row>
    <x:row r="19">
      <x:c r="A19" t="s">
        <x:v>283</x:v>
      </x:c>
      <x:c r="B19" t="s">
        <x:v>279</x:v>
      </x:c>
      <x:c r="C19" t="s">
        <x:v>252</x:v>
      </x:c>
      <x:c r="D19" t="s">
        <x:v>284</x:v>
      </x:c>
      <x:c r="E19" t="s">
        <x:v>235</x:v>
      </x:c>
      <x:c r="F19" t="s">
        <x:v>236</x:v>
      </x:c>
      <x:c r="G19" t="s">
        <x:v>285</x:v>
      </x:c>
      <x:c r="H19" s="2">
        <x:v>45299</x:v>
      </x:c>
      <x:c r="I19" s="2">
        <x:v>46244</x:v>
      </x:c>
      <x:c r="J19" s="2">
        <x:v>46336</x:v>
      </x:c>
    </x:row>
    <x:row r="20">
      <x:c r="A20" t="s">
        <x:v>286</x:v>
      </x:c>
      <x:c r="B20" t="s">
        <x:v>287</x:v>
      </x:c>
      <x:c r="C20" t="s">
        <x:v>256</x:v>
      </x:c>
      <x:c r="D20" t="s">
        <x:v>288</x:v>
      </x:c>
      <x:c r="E20" t="s">
        <x:v>235</x:v>
      </x:c>
      <x:c r="F20" t="s">
        <x:v>236</x:v>
      </x:c>
      <x:c r="G20" t="s">
        <x:v>74</x:v>
      </x:c>
      <x:c r="H20" s="2">
        <x:v>45421</x:v>
      </x:c>
      <x:c r="I20" s="2">
        <x:v>46204</x:v>
      </x:c>
      <x:c r="J20" s="2">
        <x:v>46296</x:v>
      </x:c>
    </x:row>
    <x:row r="21">
      <x:c r="A21" t="s">
        <x:v>289</x:v>
      </x:c>
      <x:c r="B21" t="s">
        <x:v>287</x:v>
      </x:c>
      <x:c r="C21" t="s">
        <x:v>233</x:v>
      </x:c>
      <x:c r="D21" t="s">
        <x:v>290</x:v>
      </x:c>
      <x:c r="E21" t="s">
        <x:v>235</x:v>
      </x:c>
      <x:c r="F21" t="s">
        <x:v>236</x:v>
      </x:c>
      <x:c r="G21" t="s">
        <x:v>74</x:v>
      </x:c>
      <x:c r="H21" s="2">
        <x:v>45421</x:v>
      </x:c>
      <x:c r="I21" s="2">
        <x:v>46204</x:v>
      </x:c>
      <x:c r="J21" s="2">
        <x:v>46296</x:v>
      </x:c>
    </x:row>
    <x:row r="22">
      <x:c r="A22" t="s">
        <x:v>291</x:v>
      </x:c>
      <x:c r="B22" t="s">
        <x:v>287</x:v>
      </x:c>
      <x:c r="C22" t="s">
        <x:v>242</x:v>
      </x:c>
      <x:c r="D22" t="s">
        <x:v>292</x:v>
      </x:c>
      <x:c r="E22" t="s">
        <x:v>84</x:v>
      </x:c>
      <x:c r="F22" t="s">
        <x:v>240</x:v>
      </x:c>
      <x:c r="G22" t="s">
        <x:v>74</x:v>
      </x:c>
      <x:c r="H22" s="2">
        <x:v>45700</x:v>
      </x:c>
      <x:c r="I22" s="2">
        <x:v>46204</x:v>
      </x:c>
      <x:c r="J22" s="2">
        <x:v>46296</x:v>
      </x:c>
    </x:row>
    <x:row r="23">
      <x:c r="A23" t="s">
        <x:v>293</x:v>
      </x:c>
      <x:c r="B23" t="s">
        <x:v>294</x:v>
      </x:c>
      <x:c r="C23" t="s">
        <x:v>295</x:v>
      </x:c>
      <x:c r="D23" t="s">
        <x:v>296</x:v>
      </x:c>
      <x:c r="E23" t="s">
        <x:v>235</x:v>
      </x:c>
      <x:c r="F23" t="s">
        <x:v>236</x:v>
      </x:c>
      <x:c r="G23" t="s">
        <x:v>79</x:v>
      </x:c>
      <x:c r="H23" s="2">
        <x:v>45229</x:v>
      </x:c>
      <x:c r="I23" s="2">
        <x:v>46201</x:v>
      </x:c>
      <x:c r="J23" s="2">
        <x:v>46384</x:v>
      </x:c>
    </x:row>
    <x:row r="24">
      <x:c r="A24" t="s">
        <x:v>297</x:v>
      </x:c>
      <x:c r="B24" t="s">
        <x:v>294</x:v>
      </x:c>
      <x:c r="C24" t="s">
        <x:v>233</x:v>
      </x:c>
      <x:c r="D24" t="s">
        <x:v>298</x:v>
      </x:c>
      <x:c r="E24" t="s">
        <x:v>235</x:v>
      </x:c>
      <x:c r="F24" t="s">
        <x:v>236</x:v>
      </x:c>
      <x:c r="G24" t="s">
        <x:v>79</x:v>
      </x:c>
      <x:c r="H24" s="2">
        <x:v>45229</x:v>
      </x:c>
      <x:c r="I24" s="2">
        <x:v>46201</x:v>
      </x:c>
      <x:c r="J24" s="2">
        <x:v>46384</x:v>
      </x:c>
    </x:row>
    <x:row r="25">
      <x:c r="A25" t="s">
        <x:v>299</x:v>
      </x:c>
      <x:c r="B25" t="s">
        <x:v>294</x:v>
      </x:c>
      <x:c r="C25" t="s">
        <x:v>252</x:v>
      </x:c>
      <x:c r="D25" t="s">
        <x:v>300</x:v>
      </x:c>
      <x:c r="E25" t="s">
        <x:v>84</x:v>
      </x:c>
      <x:c r="F25" t="s">
        <x:v>240</x:v>
      </x:c>
      <x:c r="G25" t="s">
        <x:v>159</x:v>
      </x:c>
      <x:c r="H25" s="2">
        <x:v>45444</x:v>
      </x:c>
      <x:c r="I25" s="2">
        <x:v>46201</x:v>
      </x:c>
      <x:c r="J25" s="2">
        <x:v>46293</x:v>
      </x:c>
    </x:row>
    <x:row r="26">
      <x:c r="A26" t="s">
        <x:v>301</x:v>
      </x:c>
      <x:c r="B26" t="s">
        <x:v>302</x:v>
      </x:c>
      <x:c r="C26" t="s">
        <x:v>295</x:v>
      </x:c>
      <x:c r="D26" t="s">
        <x:v>303</x:v>
      </x:c>
      <x:c r="E26" t="s">
        <x:v>235</x:v>
      </x:c>
      <x:c r="F26" t="s">
        <x:v>236</x:v>
      </x:c>
      <x:c r="G26" t="s">
        <x:v>85</x:v>
      </x:c>
      <x:c r="H26" s="2">
        <x:v>45702</x:v>
      </x:c>
      <x:c r="I26" s="2">
        <x:v>46249</x:v>
      </x:c>
      <x:c r="J26" s="2">
        <x:v>46341</x:v>
      </x:c>
    </x:row>
    <x:row r="27">
      <x:c r="A27" t="s">
        <x:v>304</x:v>
      </x:c>
      <x:c r="B27" t="s">
        <x:v>302</x:v>
      </x:c>
      <x:c r="C27" t="s">
        <x:v>233</x:v>
      </x:c>
      <x:c r="D27" t="s">
        <x:v>305</x:v>
      </x:c>
      <x:c r="E27" t="s">
        <x:v>235</x:v>
      </x:c>
      <x:c r="F27" t="s">
        <x:v>236</x:v>
      </x:c>
      <x:c r="G27" t="s">
        <x:v>85</x:v>
      </x:c>
      <x:c r="H27" s="2">
        <x:v>45702</x:v>
      </x:c>
      <x:c r="I27" s="2">
        <x:v>46249</x:v>
      </x:c>
      <x:c r="J27" s="2">
        <x:v>46341</x:v>
      </x:c>
    </x:row>
    <x:row r="28">
      <x:c r="A28" t="s">
        <x:v>306</x:v>
      </x:c>
      <x:c r="B28" t="s">
        <x:v>302</x:v>
      </x:c>
      <x:c r="C28" t="s">
        <x:v>252</x:v>
      </x:c>
      <x:c r="D28" t="s">
        <x:v>307</x:v>
      </x:c>
      <x:c r="E28" t="s">
        <x:v>84</x:v>
      </x:c>
      <x:c r="F28" t="s">
        <x:v>240</x:v>
      </x:c>
      <x:c r="G28" t="s">
        <x:v>85</x:v>
      </x:c>
      <x:c r="H28" s="2">
        <x:v>45778</x:v>
      </x:c>
      <x:c r="I28" s="2">
        <x:v>46249</x:v>
      </x:c>
      <x:c r="J28" s="2">
        <x:v>46310</x:v>
      </x:c>
    </x:row>
    <x:row r="29">
      <x:c r="A29" t="s">
        <x:v>308</x:v>
      </x:c>
      <x:c r="B29" t="s">
        <x:v>309</x:v>
      </x:c>
      <x:c r="C29" t="s">
        <x:v>295</x:v>
      </x:c>
      <x:c r="D29" t="s">
        <x:v>310</x:v>
      </x:c>
      <x:c r="E29" t="s">
        <x:v>235</x:v>
      </x:c>
      <x:c r="F29" t="s">
        <x:v>236</x:v>
      </x:c>
      <x:c r="G29" t="s">
        <x:v>90</x:v>
      </x:c>
      <x:c r="H29" s="2">
        <x:v>45810</x:v>
      </x:c>
      <x:c r="I29" s="2">
        <x:v>46255</x:v>
      </x:c>
      <x:c r="J29" s="2">
        <x:v>46347</x:v>
      </x:c>
    </x:row>
    <x:row r="30">
      <x:c r="A30" t="s">
        <x:v>311</x:v>
      </x:c>
      <x:c r="B30" t="s">
        <x:v>309</x:v>
      </x:c>
      <x:c r="C30" t="s">
        <x:v>312</x:v>
      </x:c>
      <x:c r="D30" t="s">
        <x:v>313</x:v>
      </x:c>
      <x:c r="E30" t="s">
        <x:v>84</x:v>
      </x:c>
      <x:c r="F30" t="s">
        <x:v>240</x:v>
      </x:c>
      <x:c r="G30" t="s">
        <x:v>177</x:v>
      </x:c>
      <x:c r="H30" s="2">
        <x:v>45853</x:v>
      </x:c>
      <x:c r="I30" s="2">
        <x:v>46255</x:v>
      </x:c>
      <x:c r="J30" s="2">
        <x:v>46316</x:v>
      </x:c>
    </x:row>
    <x:row r="31">
      <x:c r="A31" t="s">
        <x:v>314</x:v>
      </x:c>
      <x:c r="B31" t="s">
        <x:v>309</x:v>
      </x:c>
      <x:c r="C31" t="s">
        <x:v>252</x:v>
      </x:c>
      <x:c r="D31" t="s">
        <x:v>315</x:v>
      </x:c>
      <x:c r="E31" t="s">
        <x:v>244</x:v>
      </x:c>
      <x:c r="F31" t="s">
        <x:v>245</x:v>
      </x:c>
      <x:c r="G31" t="s">
        <x:v>90</x:v>
      </x:c>
      <x:c r="H31" s="2"/>
      <x:c r="I31" s="2"/>
      <x:c r="J31" s="2">
        <x:v>46296</x:v>
      </x:c>
    </x:row>
    <x:row r="32">
      <x:c r="A32" t="s">
        <x:v>316</x:v>
      </x:c>
      <x:c r="B32" t="s">
        <x:v>317</x:v>
      </x:c>
      <x:c r="C32" t="s">
        <x:v>252</x:v>
      </x:c>
      <x:c r="D32" t="s">
        <x:v>318</x:v>
      </x:c>
      <x:c r="E32" t="s">
        <x:v>235</x:v>
      </x:c>
      <x:c r="F32" t="s">
        <x:v>236</x:v>
      </x:c>
      <x:c r="G32" t="s">
        <x:v>94</x:v>
      </x:c>
      <x:c r="H32" s="2">
        <x:v>45485</x:v>
      </x:c>
      <x:c r="I32" s="2">
        <x:v>46203</x:v>
      </x:c>
      <x:c r="J32" s="2">
        <x:v>46295</x:v>
      </x:c>
    </x:row>
    <x:row r="33">
      <x:c r="A33" t="s">
        <x:v>319</x:v>
      </x:c>
      <x:c r="B33" t="s">
        <x:v>317</x:v>
      </x:c>
      <x:c r="C33" t="s">
        <x:v>312</x:v>
      </x:c>
      <x:c r="D33" t="s">
        <x:v>320</x:v>
      </x:c>
      <x:c r="E33" t="s">
        <x:v>235</x:v>
      </x:c>
      <x:c r="F33" t="s">
        <x:v>236</x:v>
      </x:c>
      <x:c r="G33" t="s">
        <x:v>321</x:v>
      </x:c>
      <x:c r="H33" s="2">
        <x:v>45505</x:v>
      </x:c>
      <x:c r="I33" s="2">
        <x:v>46203</x:v>
      </x:c>
      <x:c r="J33" s="2">
        <x:v>46386</x:v>
      </x:c>
    </x:row>
    <x:row r="34">
      <x:c r="A34" t="s">
        <x:v>322</x:v>
      </x:c>
      <x:c r="B34" t="s">
        <x:v>317</x:v>
      </x:c>
      <x:c r="C34" t="s">
        <x:v>256</x:v>
      </x:c>
      <x:c r="D34" t="s">
        <x:v>323</x:v>
      </x:c>
      <x:c r="E34" t="s">
        <x:v>84</x:v>
      </x:c>
      <x:c r="F34" t="s">
        <x:v>240</x:v>
      </x:c>
      <x:c r="G34" t="s">
        <x:v>94</x:v>
      </x:c>
      <x:c r="H34" s="2">
        <x:v>45672</x:v>
      </x:c>
      <x:c r="I34" s="2">
        <x:v>46203</x:v>
      </x:c>
      <x:c r="J34" s="2">
        <x:v>46295</x:v>
      </x:c>
    </x:row>
    <x:row r="35">
      <x:c r="A35" t="s">
        <x:v>324</x:v>
      </x:c>
      <x:c r="B35" t="s">
        <x:v>325</x:v>
      </x:c>
      <x:c r="C35" t="s">
        <x:v>252</x:v>
      </x:c>
      <x:c r="D35" t="s">
        <x:v>326</x:v>
      </x:c>
      <x:c r="E35" t="s">
        <x:v>235</x:v>
      </x:c>
      <x:c r="F35" t="s">
        <x:v>236</x:v>
      </x:c>
      <x:c r="G35" t="s">
        <x:v>85</x:v>
      </x:c>
      <x:c r="H35" s="2">
        <x:v>45342</x:v>
      </x:c>
      <x:c r="I35" s="2">
        <x:v>46158</x:v>
      </x:c>
      <x:c r="J35" s="2">
        <x:v>46342</x:v>
      </x:c>
    </x:row>
    <x:row r="36">
      <x:c r="A36" t="s">
        <x:v>327</x:v>
      </x:c>
      <x:c r="B36" t="s">
        <x:v>325</x:v>
      </x:c>
      <x:c r="C36" t="s">
        <x:v>233</x:v>
      </x:c>
      <x:c r="D36" t="s">
        <x:v>328</x:v>
      </x:c>
      <x:c r="E36" t="s">
        <x:v>235</x:v>
      </x:c>
      <x:c r="F36" t="s">
        <x:v>236</x:v>
      </x:c>
      <x:c r="G36" t="s">
        <x:v>85</x:v>
      </x:c>
      <x:c r="H36" s="2">
        <x:v>45342</x:v>
      </x:c>
      <x:c r="I36" s="2">
        <x:v>46158</x:v>
      </x:c>
      <x:c r="J36" s="2">
        <x:v>46342</x:v>
      </x:c>
    </x:row>
    <x:row r="37">
      <x:c r="A37" t="s">
        <x:v>329</x:v>
      </x:c>
      <x:c r="B37" t="s">
        <x:v>325</x:v>
      </x:c>
      <x:c r="C37" t="s">
        <x:v>238</x:v>
      </x:c>
      <x:c r="D37" t="s">
        <x:v>330</x:v>
      </x:c>
      <x:c r="E37" t="s">
        <x:v>84</x:v>
      </x:c>
      <x:c r="F37" t="s">
        <x:v>240</x:v>
      </x:c>
      <x:c r="G37" t="s">
        <x:v>331</x:v>
      </x:c>
      <x:c r="H37" s="2">
        <x:v>45717</x:v>
      </x:c>
      <x:c r="I37" s="2">
        <x:v>46158</x:v>
      </x:c>
      <x:c r="J37" s="2">
        <x:v>46342</x:v>
      </x:c>
    </x:row>
    <x:row r="38">
      <x:c r="A38" t="s">
        <x:v>332</x:v>
      </x:c>
      <x:c r="B38" t="s">
        <x:v>333</x:v>
      </x:c>
      <x:c r="C38" t="s">
        <x:v>295</x:v>
      </x:c>
      <x:c r="D38" t="s">
        <x:v>334</x:v>
      </x:c>
      <x:c r="E38" t="s">
        <x:v>235</x:v>
      </x:c>
      <x:c r="F38" t="s">
        <x:v>236</x:v>
      </x:c>
      <x:c r="G38" t="s">
        <x:v>99</x:v>
      </x:c>
      <x:c r="H38" s="2">
        <x:v>45184</x:v>
      </x:c>
      <x:c r="I38" s="2">
        <x:v>46228</x:v>
      </x:c>
      <x:c r="J38" s="2">
        <x:v>46320</x:v>
      </x:c>
    </x:row>
    <x:row r="39">
      <x:c r="A39" t="s">
        <x:v>335</x:v>
      </x:c>
      <x:c r="B39" t="s">
        <x:v>333</x:v>
      </x:c>
      <x:c r="C39" t="s">
        <x:v>233</x:v>
      </x:c>
      <x:c r="D39" t="s">
        <x:v>336</x:v>
      </x:c>
      <x:c r="E39" t="s">
        <x:v>235</x:v>
      </x:c>
      <x:c r="F39" t="s">
        <x:v>236</x:v>
      </x:c>
      <x:c r="G39" t="s">
        <x:v>174</x:v>
      </x:c>
      <x:c r="H39" s="2">
        <x:v>45184</x:v>
      </x:c>
      <x:c r="I39" s="2">
        <x:v>46228</x:v>
      </x:c>
      <x:c r="J39" s="2">
        <x:v>46320</x:v>
      </x:c>
    </x:row>
    <x:row r="40">
      <x:c r="A40" t="s">
        <x:v>337</x:v>
      </x:c>
      <x:c r="B40" t="s">
        <x:v>333</x:v>
      </x:c>
      <x:c r="C40" t="s">
        <x:v>252</x:v>
      </x:c>
      <x:c r="D40" t="s">
        <x:v>338</x:v>
      </x:c>
      <x:c r="E40" t="s">
        <x:v>235</x:v>
      </x:c>
      <x:c r="F40" t="s">
        <x:v>236</x:v>
      </x:c>
      <x:c r="G40" t="s">
        <x:v>99</x:v>
      </x:c>
      <x:c r="H40" s="2">
        <x:v>45301</x:v>
      </x:c>
      <x:c r="I40" s="2">
        <x:v>46228</x:v>
      </x:c>
      <x:c r="J40" s="2">
        <x:v>46320</x:v>
      </x:c>
    </x:row>
    <x:row r="41">
      <x:c r="A41" t="s">
        <x:v>339</x:v>
      </x:c>
      <x:c r="B41" t="s">
        <x:v>340</x:v>
      </x:c>
      <x:c r="C41" t="s">
        <x:v>295</x:v>
      </x:c>
      <x:c r="D41" t="s">
        <x:v>341</x:v>
      </x:c>
      <x:c r="E41" t="s">
        <x:v>84</x:v>
      </x:c>
      <x:c r="F41" t="s">
        <x:v>240</x:v>
      </x:c>
      <x:c r="G41" t="s">
        <x:v>102</x:v>
      </x:c>
      <x:c r="H41" s="2">
        <x:v>45726</x:v>
      </x:c>
      <x:c r="I41" s="2">
        <x:v>46242</x:v>
      </x:c>
      <x:c r="J41" s="2">
        <x:v>46303</x:v>
      </x:c>
    </x:row>
    <x:row r="42">
      <x:c r="A42" t="s">
        <x:v>342</x:v>
      </x:c>
      <x:c r="B42" t="s">
        <x:v>340</x:v>
      </x:c>
      <x:c r="C42" t="s">
        <x:v>233</x:v>
      </x:c>
      <x:c r="D42" t="s">
        <x:v>343</x:v>
      </x:c>
      <x:c r="E42" t="s">
        <x:v>235</x:v>
      </x:c>
      <x:c r="F42" t="s">
        <x:v>236</x:v>
      </x:c>
      <x:c r="G42" t="s">
        <x:v>102</x:v>
      </x:c>
      <x:c r="H42" s="2">
        <x:v>45726</x:v>
      </x:c>
      <x:c r="I42" s="2">
        <x:v>46242</x:v>
      </x:c>
      <x:c r="J42" s="2">
        <x:v>46334</x:v>
      </x:c>
    </x:row>
    <x:row r="43">
      <x:c r="A43" t="s">
        <x:v>344</x:v>
      </x:c>
      <x:c r="B43" t="s">
        <x:v>340</x:v>
      </x:c>
      <x:c r="C43" t="s">
        <x:v>252</x:v>
      </x:c>
      <x:c r="D43" t="s">
        <x:v>345</x:v>
      </x:c>
      <x:c r="E43" t="s">
        <x:v>84</x:v>
      </x:c>
      <x:c r="F43" t="s">
        <x:v>240</x:v>
      </x:c>
      <x:c r="G43" t="s">
        <x:v>102</x:v>
      </x:c>
      <x:c r="H43" s="2">
        <x:v>45809</x:v>
      </x:c>
      <x:c r="I43" s="2">
        <x:v>46242</x:v>
      </x:c>
      <x:c r="J43" s="2">
        <x:v>46303</x:v>
      </x:c>
    </x:row>
    <x:row r="44">
      <x:c r="A44" t="s">
        <x:v>346</x:v>
      </x:c>
      <x:c r="B44" t="s">
        <x:v>347</x:v>
      </x:c>
      <x:c r="C44" t="s">
        <x:v>295</x:v>
      </x:c>
      <x:c r="D44" t="s">
        <x:v>348</x:v>
      </x:c>
      <x:c r="E44" t="s">
        <x:v>235</x:v>
      </x:c>
      <x:c r="F44" t="s">
        <x:v>236</x:v>
      </x:c>
      <x:c r="G44" t="s">
        <x:v>105</x:v>
      </x:c>
      <x:c r="H44" s="2">
        <x:v>45404</x:v>
      </x:c>
      <x:c r="I44" s="2">
        <x:v>46192</x:v>
      </x:c>
      <x:c r="J44" s="2">
        <x:v>46375</x:v>
      </x:c>
    </x:row>
    <x:row r="45">
      <x:c r="A45" t="s">
        <x:v>349</x:v>
      </x:c>
      <x:c r="B45" t="s">
        <x:v>347</x:v>
      </x:c>
      <x:c r="C45" t="s">
        <x:v>233</x:v>
      </x:c>
      <x:c r="D45" t="s">
        <x:v>350</x:v>
      </x:c>
      <x:c r="E45" t="s">
        <x:v>235</x:v>
      </x:c>
      <x:c r="F45" t="s">
        <x:v>236</x:v>
      </x:c>
      <x:c r="G45" t="s">
        <x:v>105</x:v>
      </x:c>
      <x:c r="H45" s="2">
        <x:v>45404</x:v>
      </x:c>
      <x:c r="I45" s="2">
        <x:v>46192</x:v>
      </x:c>
      <x:c r="J45" s="2">
        <x:v>46375</x:v>
      </x:c>
    </x:row>
    <x:row r="46">
      <x:c r="A46" t="s">
        <x:v>351</x:v>
      </x:c>
      <x:c r="B46" t="s">
        <x:v>347</x:v>
      </x:c>
      <x:c r="C46" t="s">
        <x:v>252</x:v>
      </x:c>
      <x:c r="D46" t="s">
        <x:v>352</x:v>
      </x:c>
      <x:c r="E46" t="s">
        <x:v>84</x:v>
      </x:c>
      <x:c r="F46" t="s">
        <x:v>240</x:v>
      </x:c>
      <x:c r="G46" t="s">
        <x:v>353</x:v>
      </x:c>
      <x:c r="H46" s="2">
        <x:v>45677</x:v>
      </x:c>
      <x:c r="I46" s="2">
        <x:v>46192</x:v>
      </x:c>
      <x:c r="J46" s="2">
        <x:v>46284</x:v>
      </x:c>
    </x:row>
    <x:row r="47">
      <x:c r="A47" t="s">
        <x:v>354</x:v>
      </x:c>
      <x:c r="B47" t="s">
        <x:v>355</x:v>
      </x:c>
      <x:c r="C47" t="s">
        <x:v>233</x:v>
      </x:c>
      <x:c r="D47" t="s">
        <x:v>356</x:v>
      </x:c>
      <x:c r="E47" t="s">
        <x:v>235</x:v>
      </x:c>
      <x:c r="F47" t="s">
        <x:v>236</x:v>
      </x:c>
      <x:c r="G47" t="s">
        <x:v>108</x:v>
      </x:c>
      <x:c r="H47" s="2">
        <x:v>45460</x:v>
      </x:c>
      <x:c r="I47" s="2">
        <x:v>46140</x:v>
      </x:c>
      <x:c r="J47" s="2">
        <x:v>46323</x:v>
      </x:c>
    </x:row>
    <x:row r="48">
      <x:c r="A48" t="s">
        <x:v>357</x:v>
      </x:c>
      <x:c r="B48" t="s">
        <x:v>355</x:v>
      </x:c>
      <x:c r="C48" t="s">
        <x:v>252</x:v>
      </x:c>
      <x:c r="D48" t="s">
        <x:v>358</x:v>
      </x:c>
      <x:c r="E48" t="s">
        <x:v>235</x:v>
      </x:c>
      <x:c r="F48" t="s">
        <x:v>236</x:v>
      </x:c>
      <x:c r="G48" t="s">
        <x:v>108</x:v>
      </x:c>
      <x:c r="H48" s="2">
        <x:v>45536</x:v>
      </x:c>
      <x:c r="I48" s="2">
        <x:v>46204</x:v>
      </x:c>
      <x:c r="J48" s="2">
        <x:v>46296</x:v>
      </x:c>
    </x:row>
    <x:row r="49">
      <x:c r="A49" t="s">
        <x:v>359</x:v>
      </x:c>
      <x:c r="B49" t="s">
        <x:v>355</x:v>
      </x:c>
      <x:c r="C49" t="s">
        <x:v>242</x:v>
      </x:c>
      <x:c r="D49" t="s">
        <x:v>360</x:v>
      </x:c>
      <x:c r="E49" t="s">
        <x:v>84</x:v>
      </x:c>
      <x:c r="F49" t="s">
        <x:v>240</x:v>
      </x:c>
      <x:c r="G49" t="s">
        <x:v>108</x:v>
      </x:c>
      <x:c r="H49" s="2">
        <x:v>45698</x:v>
      </x:c>
      <x:c r="I49" s="2">
        <x:v>46140</x:v>
      </x:c>
      <x:c r="J49" s="2">
        <x:v>46323</x:v>
      </x:c>
    </x:row>
    <x:row r="50">
      <x:c r="A50" t="s">
        <x:v>361</x:v>
      </x:c>
      <x:c r="B50" t="s">
        <x:v>362</x:v>
      </x:c>
      <x:c r="C50" t="s">
        <x:v>256</x:v>
      </x:c>
      <x:c r="D50" t="s">
        <x:v>363</x:v>
      </x:c>
      <x:c r="E50" t="s">
        <x:v>235</x:v>
      </x:c>
      <x:c r="F50" t="s">
        <x:v>236</x:v>
      </x:c>
      <x:c r="G50" t="s">
        <x:v>111</x:v>
      </x:c>
      <x:c r="H50" s="2">
        <x:v>45265</x:v>
      </x:c>
      <x:c r="I50" s="2">
        <x:v>46217</x:v>
      </x:c>
      <x:c r="J50" s="2">
        <x:v>46309</x:v>
      </x:c>
    </x:row>
    <x:row r="51">
      <x:c r="A51" t="s">
        <x:v>364</x:v>
      </x:c>
      <x:c r="B51" t="s">
        <x:v>362</x:v>
      </x:c>
      <x:c r="C51" t="s">
        <x:v>233</x:v>
      </x:c>
      <x:c r="D51" t="s">
        <x:v>365</x:v>
      </x:c>
      <x:c r="E51" t="s">
        <x:v>235</x:v>
      </x:c>
      <x:c r="F51" t="s">
        <x:v>236</x:v>
      </x:c>
      <x:c r="G51" t="s">
        <x:v>111</x:v>
      </x:c>
      <x:c r="H51" s="2">
        <x:v>45265</x:v>
      </x:c>
      <x:c r="I51" s="2">
        <x:v>46217</x:v>
      </x:c>
      <x:c r="J51" s="2">
        <x:v>46309</x:v>
      </x:c>
    </x:row>
    <x:row r="52">
      <x:c r="A52" t="s">
        <x:v>366</x:v>
      </x:c>
      <x:c r="B52" t="s">
        <x:v>362</x:v>
      </x:c>
      <x:c r="C52" t="s">
        <x:v>252</x:v>
      </x:c>
      <x:c r="D52" t="s">
        <x:v>367</x:v>
      </x:c>
      <x:c r="E52" t="s">
        <x:v>235</x:v>
      </x:c>
      <x:c r="F52" t="s">
        <x:v>236</x:v>
      </x:c>
      <x:c r="G52" t="s">
        <x:v>368</x:v>
      </x:c>
      <x:c r="H52" s="2">
        <x:v>45413</x:v>
      </x:c>
      <x:c r="I52" s="2">
        <x:v>46217</x:v>
      </x:c>
      <x:c r="J52" s="2">
        <x:v>46309</x:v>
      </x:c>
    </x:row>
    <x:row r="53">
      <x:c r="A53" t="s">
        <x:v>369</x:v>
      </x:c>
      <x:c r="B53" t="s">
        <x:v>370</x:v>
      </x:c>
      <x:c r="C53" t="s">
        <x:v>233</x:v>
      </x:c>
      <x:c r="D53" t="s">
        <x:v>371</x:v>
      </x:c>
      <x:c r="E53" t="s">
        <x:v>235</x:v>
      </x:c>
      <x:c r="F53" t="s">
        <x:v>236</x:v>
      </x:c>
      <x:c r="G53" t="s">
        <x:v>114</x:v>
      </x:c>
      <x:c r="H53" s="2">
        <x:v>45678</x:v>
      </x:c>
      <x:c r="I53" s="2">
        <x:v>46236</x:v>
      </x:c>
      <x:c r="J53" s="2">
        <x:v>46328</x:v>
      </x:c>
    </x:row>
    <x:row r="54">
      <x:c r="A54" t="s">
        <x:v>372</x:v>
      </x:c>
      <x:c r="B54" t="s">
        <x:v>370</x:v>
      </x:c>
      <x:c r="C54" t="s">
        <x:v>242</x:v>
      </x:c>
      <x:c r="D54" t="s">
        <x:v>373</x:v>
      </x:c>
      <x:c r="E54" t="s">
        <x:v>84</x:v>
      </x:c>
      <x:c r="F54" t="s">
        <x:v>240</x:v>
      </x:c>
      <x:c r="G54" t="s">
        <x:v>114</x:v>
      </x:c>
      <x:c r="H54" s="2">
        <x:v>45717</x:v>
      </x:c>
      <x:c r="I54" s="2">
        <x:v>46236</x:v>
      </x:c>
      <x:c r="J54" s="2">
        <x:v>46297</x:v>
      </x:c>
    </x:row>
    <x:row r="55">
      <x:c r="A55" t="s">
        <x:v>374</x:v>
      </x:c>
      <x:c r="B55" t="s">
        <x:v>370</x:v>
      </x:c>
      <x:c r="C55" t="s">
        <x:v>252</x:v>
      </x:c>
      <x:c r="D55" t="s">
        <x:v>375</x:v>
      </x:c>
      <x:c r="E55" t="s">
        <x:v>84</x:v>
      </x:c>
      <x:c r="F55" t="s">
        <x:v>240</x:v>
      </x:c>
      <x:c r="G55" t="s">
        <x:v>111</x:v>
      </x:c>
      <x:c r="H55" s="2">
        <x:v>45762</x:v>
      </x:c>
      <x:c r="I55" s="2">
        <x:v>46236</x:v>
      </x:c>
      <x:c r="J55" s="2">
        <x:v>46297</x:v>
      </x:c>
    </x:row>
    <x:row r="56">
      <x:c r="A56" t="s">
        <x:v>376</x:v>
      </x:c>
      <x:c r="B56" t="s">
        <x:v>377</x:v>
      </x:c>
      <x:c r="C56" t="s">
        <x:v>233</x:v>
      </x:c>
      <x:c r="D56" t="s">
        <x:v>378</x:v>
      </x:c>
      <x:c r="E56" t="s">
        <x:v>235</x:v>
      </x:c>
      <x:c r="F56" t="s">
        <x:v>236</x:v>
      </x:c>
      <x:c r="G56" t="s">
        <x:v>118</x:v>
      </x:c>
      <x:c r="H56" s="2">
        <x:v>45750</x:v>
      </x:c>
      <x:c r="I56" s="2">
        <x:v>46246</x:v>
      </x:c>
      <x:c r="J56" s="2">
        <x:v>46338</x:v>
      </x:c>
    </x:row>
    <x:row r="57">
      <x:c r="A57" t="s">
        <x:v>379</x:v>
      </x:c>
      <x:c r="B57" t="s">
        <x:v>377</x:v>
      </x:c>
      <x:c r="C57" t="s">
        <x:v>242</x:v>
      </x:c>
      <x:c r="D57" t="s">
        <x:v>380</x:v>
      </x:c>
      <x:c r="E57" t="s">
        <x:v>235</x:v>
      </x:c>
      <x:c r="F57" t="s">
        <x:v>236</x:v>
      </x:c>
      <x:c r="G57" t="s">
        <x:v>118</x:v>
      </x:c>
      <x:c r="H57" s="2">
        <x:v>45750</x:v>
      </x:c>
      <x:c r="I57" s="2">
        <x:v>46246</x:v>
      </x:c>
      <x:c r="J57" s="2">
        <x:v>46338</x:v>
      </x:c>
    </x:row>
    <x:row r="58">
      <x:c r="A58" t="s">
        <x:v>381</x:v>
      </x:c>
      <x:c r="B58" t="s">
        <x:v>377</x:v>
      </x:c>
      <x:c r="C58" t="s">
        <x:v>252</x:v>
      </x:c>
      <x:c r="D58" t="s">
        <x:v>382</x:v>
      </x:c>
      <x:c r="E58" t="s">
        <x:v>235</x:v>
      </x:c>
      <x:c r="F58" t="s">
        <x:v>236</x:v>
      </x:c>
      <x:c r="G58" t="s">
        <x:v>190</x:v>
      </x:c>
      <x:c r="H58" s="2">
        <x:v>45792</x:v>
      </x:c>
      <x:c r="I58" s="2">
        <x:v>46246</x:v>
      </x:c>
      <x:c r="J58" s="2">
        <x:v>46338</x:v>
      </x:c>
    </x:row>
    <x:row r="59">
      <x:c r="A59" t="s">
        <x:v>383</x:v>
      </x:c>
      <x:c r="B59" t="s">
        <x:v>384</x:v>
      </x:c>
      <x:c r="C59" t="s">
        <x:v>312</x:v>
      </x:c>
      <x:c r="D59" t="s">
        <x:v>385</x:v>
      </x:c>
      <x:c r="E59" t="s">
        <x:v>235</x:v>
      </x:c>
      <x:c r="F59" t="s">
        <x:v>236</x:v>
      </x:c>
      <x:c r="G59" t="s">
        <x:v>121</x:v>
      </x:c>
      <x:c r="H59" s="2">
        <x:v>45131</x:v>
      </x:c>
      <x:c r="I59" s="2">
        <x:v>46171</x:v>
      </x:c>
      <x:c r="J59" s="2">
        <x:v>46355</x:v>
      </x:c>
    </x:row>
    <x:row r="60">
      <x:c r="A60" t="s">
        <x:v>386</x:v>
      </x:c>
      <x:c r="B60" t="s">
        <x:v>384</x:v>
      </x:c>
      <x:c r="C60" t="s">
        <x:v>238</x:v>
      </x:c>
      <x:c r="D60" t="s">
        <x:v>387</x:v>
      </x:c>
      <x:c r="E60" t="s">
        <x:v>84</x:v>
      </x:c>
      <x:c r="F60" t="s">
        <x:v>240</x:v>
      </x:c>
      <x:c r="G60" t="s">
        <x:v>121</x:v>
      </x:c>
      <x:c r="H60" s="2">
        <x:v>45422</x:v>
      </x:c>
      <x:c r="I60" s="2">
        <x:v>46171</x:v>
      </x:c>
      <x:c r="J60" s="2">
        <x:v>46355</x:v>
      </x:c>
    </x:row>
    <x:row r="61">
      <x:c r="A61" t="s">
        <x:v>388</x:v>
      </x:c>
      <x:c r="B61" t="s">
        <x:v>384</x:v>
      </x:c>
      <x:c r="C61" t="s">
        <x:v>233</x:v>
      </x:c>
      <x:c r="D61" t="s">
        <x:v>389</x:v>
      </x:c>
      <x:c r="E61" t="s">
        <x:v>235</x:v>
      </x:c>
      <x:c r="F61" t="s">
        <x:v>236</x:v>
      </x:c>
      <x:c r="G61" t="s">
        <x:v>121</x:v>
      </x:c>
      <x:c r="H61" s="2">
        <x:v>45131</x:v>
      </x:c>
      <x:c r="I61" s="2">
        <x:v>46171</x:v>
      </x:c>
      <x:c r="J61" s="2">
        <x:v>46355</x:v>
      </x:c>
    </x:row>
    <x:row r="62">
      <x:c r="A62" t="s">
        <x:v>390</x:v>
      </x:c>
      <x:c r="B62" t="s">
        <x:v>391</x:v>
      </x:c>
      <x:c r="C62" t="s">
        <x:v>312</x:v>
      </x:c>
      <x:c r="D62" t="s">
        <x:v>392</x:v>
      </x:c>
      <x:c r="E62" t="s">
        <x:v>235</x:v>
      </x:c>
      <x:c r="F62" t="s">
        <x:v>236</x:v>
      </x:c>
      <x:c r="G62" t="s">
        <x:v>125</x:v>
      </x:c>
      <x:c r="H62" s="2">
        <x:v>45512</x:v>
      </x:c>
      <x:c r="I62" s="2">
        <x:v>46210</x:v>
      </x:c>
      <x:c r="J62" s="2">
        <x:v>46394</x:v>
      </x:c>
    </x:row>
    <x:row r="63">
      <x:c r="A63" t="s">
        <x:v>393</x:v>
      </x:c>
      <x:c r="B63" t="s">
        <x:v>391</x:v>
      </x:c>
      <x:c r="C63" t="s">
        <x:v>238</x:v>
      </x:c>
      <x:c r="D63" t="s">
        <x:v>394</x:v>
      </x:c>
      <x:c r="E63" t="s">
        <x:v>244</x:v>
      </x:c>
      <x:c r="F63" t="s">
        <x:v>245</x:v>
      </x:c>
      <x:c r="G63" t="s">
        <x:v>125</x:v>
      </x:c>
      <x:c r="H63" s="2"/>
      <x:c r="I63" s="2"/>
      <x:c r="J63" s="2">
        <x:v>46325</x:v>
      </x:c>
    </x:row>
    <x:row r="64">
      <x:c r="A64" t="s">
        <x:v>395</x:v>
      </x:c>
      <x:c r="B64" t="s">
        <x:v>391</x:v>
      </x:c>
      <x:c r="C64" t="s">
        <x:v>252</x:v>
      </x:c>
      <x:c r="D64" t="s">
        <x:v>396</x:v>
      </x:c>
      <x:c r="E64" t="s">
        <x:v>235</x:v>
      </x:c>
      <x:c r="F64" t="s">
        <x:v>236</x:v>
      </x:c>
      <x:c r="G64" t="s">
        <x:v>125</x:v>
      </x:c>
      <x:c r="H64" s="2">
        <x:v>45536</x:v>
      </x:c>
      <x:c r="I64" s="2">
        <x:v>46210</x:v>
      </x:c>
      <x:c r="J64" s="2">
        <x:v>46302</x:v>
      </x:c>
    </x:row>
    <x:row r="65">
      <x:c r="A65" t="s">
        <x:v>397</x:v>
      </x:c>
      <x:c r="B65" t="s">
        <x:v>398</x:v>
      </x:c>
      <x:c r="C65" t="s">
        <x:v>233</x:v>
      </x:c>
      <x:c r="D65" t="s">
        <x:v>399</x:v>
      </x:c>
      <x:c r="E65" t="s">
        <x:v>235</x:v>
      </x:c>
      <x:c r="F65" t="s">
        <x:v>236</x:v>
      </x:c>
      <x:c r="G65" t="s">
        <x:v>128</x:v>
      </x:c>
      <x:c r="H65" s="2">
        <x:v>45614</x:v>
      </x:c>
      <x:c r="I65" s="2">
        <x:v>46178</x:v>
      </x:c>
      <x:c r="J65" s="2">
        <x:v>46361</x:v>
      </x:c>
    </x:row>
    <x:row r="66">
      <x:c r="A66" t="s">
        <x:v>400</x:v>
      </x:c>
      <x:c r="B66" t="s">
        <x:v>398</x:v>
      </x:c>
      <x:c r="C66" t="s">
        <x:v>238</x:v>
      </x:c>
      <x:c r="D66" t="s">
        <x:v>401</x:v>
      </x:c>
      <x:c r="E66" t="s">
        <x:v>84</x:v>
      </x:c>
      <x:c r="F66" t="s">
        <x:v>240</x:v>
      </x:c>
      <x:c r="G66" t="s">
        <x:v>128</x:v>
      </x:c>
      <x:c r="H66" s="2">
        <x:v>45689</x:v>
      </x:c>
      <x:c r="I66" s="2">
        <x:v>46178</x:v>
      </x:c>
      <x:c r="J66" s="2">
        <x:v>46270</x:v>
      </x:c>
    </x:row>
    <x:row r="67">
      <x:c r="A67" t="s">
        <x:v>402</x:v>
      </x:c>
      <x:c r="B67" t="s">
        <x:v>398</x:v>
      </x:c>
      <x:c r="C67" t="s">
        <x:v>252</x:v>
      </x:c>
      <x:c r="D67" t="s">
        <x:v>403</x:v>
      </x:c>
      <x:c r="E67" t="s">
        <x:v>235</x:v>
      </x:c>
      <x:c r="F67" t="s">
        <x:v>236</x:v>
      </x:c>
      <x:c r="G67" t="s">
        <x:v>128</x:v>
      </x:c>
      <x:c r="H67" s="2">
        <x:v>45627</x:v>
      </x:c>
      <x:c r="I67" s="2">
        <x:v>46235</x:v>
      </x:c>
      <x:c r="J67" s="2">
        <x:v>46327</x:v>
      </x:c>
    </x:row>
    <x:row r="68">
      <x:c r="A68" t="s">
        <x:v>404</x:v>
      </x:c>
      <x:c r="B68" t="s">
        <x:v>405</x:v>
      </x:c>
      <x:c r="C68" t="s">
        <x:v>295</x:v>
      </x:c>
      <x:c r="D68" t="s">
        <x:v>406</x:v>
      </x:c>
      <x:c r="E68" t="s">
        <x:v>235</x:v>
      </x:c>
      <x:c r="F68" t="s">
        <x:v>236</x:v>
      </x:c>
      <x:c r="G68" t="s">
        <x:v>132</x:v>
      </x:c>
      <x:c r="H68" s="2">
        <x:v>45789</x:v>
      </x:c>
      <x:c r="I68" s="2">
        <x:v>46252</x:v>
      </x:c>
      <x:c r="J68" s="2">
        <x:v>46344</x:v>
      </x:c>
    </x:row>
    <x:row r="69">
      <x:c r="A69" t="s">
        <x:v>407</x:v>
      </x:c>
      <x:c r="B69" t="s">
        <x:v>405</x:v>
      </x:c>
      <x:c r="C69" t="s">
        <x:v>233</x:v>
      </x:c>
      <x:c r="D69" t="s">
        <x:v>408</x:v>
      </x:c>
      <x:c r="E69" t="s">
        <x:v>235</x:v>
      </x:c>
      <x:c r="F69" t="s">
        <x:v>236</x:v>
      </x:c>
      <x:c r="G69" t="s">
        <x:v>132</x:v>
      </x:c>
      <x:c r="H69" s="2">
        <x:v>45789</x:v>
      </x:c>
      <x:c r="I69" s="2">
        <x:v>46252</x:v>
      </x:c>
      <x:c r="J69" s="2">
        <x:v>46344</x:v>
      </x:c>
    </x:row>
    <x:row r="70">
      <x:c r="A70" t="s">
        <x:v>409</x:v>
      </x:c>
      <x:c r="B70" t="s">
        <x:v>405</x:v>
      </x:c>
      <x:c r="C70" t="s">
        <x:v>252</x:v>
      </x:c>
      <x:c r="D70" t="s">
        <x:v>410</x:v>
      </x:c>
      <x:c r="E70" t="s">
        <x:v>84</x:v>
      </x:c>
      <x:c r="F70" t="s">
        <x:v>240</x:v>
      </x:c>
      <x:c r="G70" t="s">
        <x:v>138</x:v>
      </x:c>
      <x:c r="H70" s="2">
        <x:v>45839</x:v>
      </x:c>
      <x:c r="I70" s="2">
        <x:v>46252</x:v>
      </x:c>
      <x:c r="J70" s="2">
        <x:v>46313</x:v>
      </x:c>
    </x:row>
    <x:row r="71">
      <x:c r="A71" t="s">
        <x:v>411</x:v>
      </x:c>
      <x:c r="B71" t="s">
        <x:v>412</x:v>
      </x:c>
      <x:c r="C71" t="s">
        <x:v>256</x:v>
      </x:c>
      <x:c r="D71" t="s">
        <x:v>413</x:v>
      </x:c>
      <x:c r="E71" t="s">
        <x:v>235</x:v>
      </x:c>
      <x:c r="F71" t="s">
        <x:v>236</x:v>
      </x:c>
      <x:c r="G71" t="s">
        <x:v>135</x:v>
      </x:c>
      <x:c r="H71" s="2">
        <x:v>45072</x:v>
      </x:c>
      <x:c r="I71" s="2">
        <x:v>46197</x:v>
      </x:c>
      <x:c r="J71" s="2">
        <x:v>46380</x:v>
      </x:c>
    </x:row>
    <x:row r="72">
      <x:c r="A72" t="s">
        <x:v>414</x:v>
      </x:c>
      <x:c r="B72" t="s">
        <x:v>412</x:v>
      </x:c>
      <x:c r="C72" t="s">
        <x:v>233</x:v>
      </x:c>
      <x:c r="D72" t="s">
        <x:v>415</x:v>
      </x:c>
      <x:c r="E72" t="s">
        <x:v>235</x:v>
      </x:c>
      <x:c r="F72" t="s">
        <x:v>236</x:v>
      </x:c>
      <x:c r="G72" t="s">
        <x:v>135</x:v>
      </x:c>
      <x:c r="H72" s="2">
        <x:v>45072</x:v>
      </x:c>
      <x:c r="I72" s="2">
        <x:v>46197</x:v>
      </x:c>
      <x:c r="J72" s="2">
        <x:v>46380</x:v>
      </x:c>
    </x:row>
    <x:row r="73">
      <x:c r="A73" t="s">
        <x:v>416</x:v>
      </x:c>
      <x:c r="B73" t="s">
        <x:v>412</x:v>
      </x:c>
      <x:c r="C73" t="s">
        <x:v>252</x:v>
      </x:c>
      <x:c r="D73" t="s">
        <x:v>417</x:v>
      </x:c>
      <x:c r="E73" t="s">
        <x:v>235</x:v>
      </x:c>
      <x:c r="F73" t="s">
        <x:v>236</x:v>
      </x:c>
      <x:c r="G73" t="s">
        <x:v>135</x:v>
      </x:c>
      <x:c r="H73" s="2">
        <x:v>45306</x:v>
      </x:c>
      <x:c r="I73" s="2">
        <x:v>46197</x:v>
      </x:c>
      <x:c r="J73" s="2">
        <x:v>46289</x:v>
      </x:c>
    </x:row>
    <x:row r="74">
      <x:c r="A74" t="s">
        <x:v>418</x:v>
      </x:c>
      <x:c r="B74" t="s">
        <x:v>419</x:v>
      </x:c>
      <x:c r="C74" t="s">
        <x:v>295</x:v>
      </x:c>
      <x:c r="D74" t="s">
        <x:v>420</x:v>
      </x:c>
      <x:c r="E74" t="s">
        <x:v>235</x:v>
      </x:c>
      <x:c r="F74" t="s">
        <x:v>236</x:v>
      </x:c>
      <x:c r="G74" t="s">
        <x:v>138</x:v>
      </x:c>
      <x:c r="H74" s="2">
        <x:v>45355</x:v>
      </x:c>
      <x:c r="I74" s="2">
        <x:v>46223</x:v>
      </x:c>
      <x:c r="J74" s="2">
        <x:v>46407</x:v>
      </x:c>
    </x:row>
    <x:row r="75">
      <x:c r="A75" t="s">
        <x:v>421</x:v>
      </x:c>
      <x:c r="B75" t="s">
        <x:v>419</x:v>
      </x:c>
      <x:c r="C75" t="s">
        <x:v>233</x:v>
      </x:c>
      <x:c r="D75" t="s">
        <x:v>422</x:v>
      </x:c>
      <x:c r="E75" t="s">
        <x:v>235</x:v>
      </x:c>
      <x:c r="F75" t="s">
        <x:v>236</x:v>
      </x:c>
      <x:c r="G75" t="s">
        <x:v>138</x:v>
      </x:c>
      <x:c r="H75" s="2">
        <x:v>45355</x:v>
      </x:c>
      <x:c r="I75" s="2">
        <x:v>46223</x:v>
      </x:c>
      <x:c r="J75" s="2">
        <x:v>46407</x:v>
      </x:c>
    </x:row>
    <x:row r="76">
      <x:c r="A76" t="s">
        <x:v>423</x:v>
      </x:c>
      <x:c r="B76" t="s">
        <x:v>419</x:v>
      </x:c>
      <x:c r="C76" t="s">
        <x:v>256</x:v>
      </x:c>
      <x:c r="D76" t="s">
        <x:v>424</x:v>
      </x:c>
      <x:c r="E76" t="s">
        <x:v>84</x:v>
      </x:c>
      <x:c r="F76" t="s">
        <x:v>240</x:v>
      </x:c>
      <x:c r="G76" t="s">
        <x:v>138</x:v>
      </x:c>
      <x:c r="H76" s="2">
        <x:v>45566</x:v>
      </x:c>
      <x:c r="I76" s="2">
        <x:v>46223</x:v>
      </x:c>
      <x:c r="J76" s="2">
        <x:v>46315</x:v>
      </x:c>
    </x:row>
    <x:row r="77">
      <x:c r="A77" t="s">
        <x:v>425</x:v>
      </x:c>
      <x:c r="B77" t="s">
        <x:v>426</x:v>
      </x:c>
      <x:c r="C77" t="s">
        <x:v>256</x:v>
      </x:c>
      <x:c r="D77" t="s">
        <x:v>427</x:v>
      </x:c>
      <x:c r="E77" t="s">
        <x:v>235</x:v>
      </x:c>
      <x:c r="F77" t="s">
        <x:v>236</x:v>
      </x:c>
      <x:c r="G77" t="s">
        <x:v>141</x:v>
      </x:c>
      <x:c r="H77" s="2">
        <x:v>45333</x:v>
      </x:c>
      <x:c r="I77" s="2">
        <x:v>46189</x:v>
      </x:c>
      <x:c r="J77" s="2">
        <x:v>46372</x:v>
      </x:c>
    </x:row>
    <x:row r="78">
      <x:c r="A78" t="s">
        <x:v>428</x:v>
      </x:c>
      <x:c r="B78" t="s">
        <x:v>426</x:v>
      </x:c>
      <x:c r="C78" t="s">
        <x:v>233</x:v>
      </x:c>
      <x:c r="D78" t="s">
        <x:v>429</x:v>
      </x:c>
      <x:c r="E78" t="s">
        <x:v>235</x:v>
      </x:c>
      <x:c r="F78" t="s">
        <x:v>236</x:v>
      </x:c>
      <x:c r="G78" t="s">
        <x:v>141</x:v>
      </x:c>
      <x:c r="H78" s="2">
        <x:v>45333</x:v>
      </x:c>
      <x:c r="I78" s="2">
        <x:v>46189</x:v>
      </x:c>
      <x:c r="J78" s="2">
        <x:v>46372</x:v>
      </x:c>
    </x:row>
    <x:row r="79">
      <x:c r="A79" t="s">
        <x:v>430</x:v>
      </x:c>
      <x:c r="B79" t="s">
        <x:v>426</x:v>
      </x:c>
      <x:c r="C79" t="s">
        <x:v>252</x:v>
      </x:c>
      <x:c r="D79" t="s">
        <x:v>431</x:v>
      </x:c>
      <x:c r="E79" t="s">
        <x:v>235</x:v>
      </x:c>
      <x:c r="F79" t="s">
        <x:v>236</x:v>
      </x:c>
      <x:c r="G79" t="s">
        <x:v>270</x:v>
      </x:c>
      <x:c r="H79" s="2">
        <x:v>45413</x:v>
      </x:c>
      <x:c r="I79" s="2">
        <x:v>46235</x:v>
      </x:c>
      <x:c r="J79" s="2">
        <x:v>46327</x:v>
      </x:c>
    </x:row>
    <x:row r="80">
      <x:c r="A80" t="s">
        <x:v>432</x:v>
      </x:c>
      <x:c r="B80" t="s">
        <x:v>433</x:v>
      </x:c>
      <x:c r="C80" t="s">
        <x:v>256</x:v>
      </x:c>
      <x:c r="D80" t="s">
        <x:v>434</x:v>
      </x:c>
      <x:c r="E80" t="s">
        <x:v>235</x:v>
      </x:c>
      <x:c r="F80" t="s">
        <x:v>236</x:v>
      </x:c>
      <x:c r="G80" t="s">
        <x:v>144</x:v>
      </x:c>
      <x:c r="H80" s="2">
        <x:v>45572</x:v>
      </x:c>
      <x:c r="I80" s="2">
        <x:v>46233</x:v>
      </x:c>
      <x:c r="J80" s="2">
        <x:v>46325</x:v>
      </x:c>
    </x:row>
    <x:row r="81">
      <x:c r="A81" t="s">
        <x:v>435</x:v>
      </x:c>
      <x:c r="B81" t="s">
        <x:v>433</x:v>
      </x:c>
      <x:c r="C81" t="s">
        <x:v>233</x:v>
      </x:c>
      <x:c r="D81" t="s">
        <x:v>436</x:v>
      </x:c>
      <x:c r="E81" t="s">
        <x:v>235</x:v>
      </x:c>
      <x:c r="F81" t="s">
        <x:v>236</x:v>
      </x:c>
      <x:c r="G81" t="s">
        <x:v>144</x:v>
      </x:c>
      <x:c r="H81" s="2">
        <x:v>45572</x:v>
      </x:c>
      <x:c r="I81" s="2">
        <x:v>46233</x:v>
      </x:c>
      <x:c r="J81" s="2">
        <x:v>46325</x:v>
      </x:c>
    </x:row>
    <x:row r="82">
      <x:c r="A82" t="s">
        <x:v>437</x:v>
      </x:c>
      <x:c r="B82" t="s">
        <x:v>433</x:v>
      </x:c>
      <x:c r="C82" t="s">
        <x:v>252</x:v>
      </x:c>
      <x:c r="D82" t="s">
        <x:v>438</x:v>
      </x:c>
      <x:c r="E82" t="s">
        <x:v>84</x:v>
      </x:c>
      <x:c r="F82" t="s">
        <x:v>240</x:v>
      </x:c>
      <x:c r="G82" t="s">
        <x:v>144</x:v>
      </x:c>
      <x:c r="H82" s="2">
        <x:v>45689</x:v>
      </x:c>
      <x:c r="I82" s="2">
        <x:v>46233</x:v>
      </x:c>
      <x:c r="J82" s="2">
        <x:v>46325</x:v>
      </x:c>
    </x:row>
    <x:row r="83">
      <x:c r="A83" t="s">
        <x:v>439</x:v>
      </x:c>
      <x:c r="B83" t="s">
        <x:v>440</x:v>
      </x:c>
      <x:c r="C83" t="s">
        <x:v>256</x:v>
      </x:c>
      <x:c r="D83" t="s">
        <x:v>441</x:v>
      </x:c>
      <x:c r="E83" t="s">
        <x:v>235</x:v>
      </x:c>
      <x:c r="F83" t="s">
        <x:v>236</x:v>
      </x:c>
      <x:c r="G83" t="s">
        <x:v>147</x:v>
      </x:c>
      <x:c r="H83" s="2">
        <x:v>45035</x:v>
      </x:c>
      <x:c r="I83" s="2">
        <x:v>46150</x:v>
      </x:c>
      <x:c r="J83" s="2">
        <x:v>46334</x:v>
      </x:c>
    </x:row>
    <x:row r="84">
      <x:c r="A84" t="s">
        <x:v>442</x:v>
      </x:c>
      <x:c r="B84" t="s">
        <x:v>440</x:v>
      </x:c>
      <x:c r="C84" t="s">
        <x:v>233</x:v>
      </x:c>
      <x:c r="D84" t="s">
        <x:v>443</x:v>
      </x:c>
      <x:c r="E84" t="s">
        <x:v>235</x:v>
      </x:c>
      <x:c r="F84" t="s">
        <x:v>236</x:v>
      </x:c>
      <x:c r="G84" t="s">
        <x:v>147</x:v>
      </x:c>
      <x:c r="H84" s="2">
        <x:v>45035</x:v>
      </x:c>
      <x:c r="I84" s="2">
        <x:v>46150</x:v>
      </x:c>
      <x:c r="J84" s="2">
        <x:v>46334</x:v>
      </x:c>
    </x:row>
    <x:row r="85">
      <x:c r="A85" t="s">
        <x:v>444</x:v>
      </x:c>
      <x:c r="B85" t="s">
        <x:v>440</x:v>
      </x:c>
      <x:c r="C85" t="s">
        <x:v>252</x:v>
      </x:c>
      <x:c r="D85" t="s">
        <x:v>445</x:v>
      </x:c>
      <x:c r="E85" t="s">
        <x:v>235</x:v>
      </x:c>
      <x:c r="F85" t="s">
        <x:v>236</x:v>
      </x:c>
      <x:c r="G85" t="s">
        <x:v>446</x:v>
      </x:c>
      <x:c r="H85" s="2">
        <x:v>45306</x:v>
      </x:c>
      <x:c r="I85" s="2">
        <x:v>46239</x:v>
      </x:c>
      <x:c r="J85" s="2">
        <x:v>46331</x:v>
      </x:c>
    </x:row>
    <x:row r="86">
      <x:c r="A86" t="s">
        <x:v>447</x:v>
      </x:c>
      <x:c r="B86" t="s">
        <x:v>448</x:v>
      </x:c>
      <x:c r="C86" t="s">
        <x:v>256</x:v>
      </x:c>
      <x:c r="D86" t="s">
        <x:v>449</x:v>
      </x:c>
      <x:c r="E86" t="s">
        <x:v>235</x:v>
      </x:c>
      <x:c r="F86" t="s">
        <x:v>236</x:v>
      </x:c>
      <x:c r="G86" t="s">
        <x:v>150</x:v>
      </x:c>
      <x:c r="H86" s="2">
        <x:v>45180</x:v>
      </x:c>
      <x:c r="I86" s="2">
        <x:v>46176</x:v>
      </x:c>
      <x:c r="J86" s="2">
        <x:v>46359</x:v>
      </x:c>
    </x:row>
    <x:row r="87">
      <x:c r="A87" t="s">
        <x:v>450</x:v>
      </x:c>
      <x:c r="B87" t="s">
        <x:v>448</x:v>
      </x:c>
      <x:c r="C87" t="s">
        <x:v>233</x:v>
      </x:c>
      <x:c r="D87" t="s">
        <x:v>451</x:v>
      </x:c>
      <x:c r="E87" t="s">
        <x:v>235</x:v>
      </x:c>
      <x:c r="F87" t="s">
        <x:v>236</x:v>
      </x:c>
      <x:c r="G87" t="s">
        <x:v>150</x:v>
      </x:c>
      <x:c r="H87" s="2">
        <x:v>45180</x:v>
      </x:c>
      <x:c r="I87" s="2">
        <x:v>46176</x:v>
      </x:c>
      <x:c r="J87" s="2">
        <x:v>46359</x:v>
      </x:c>
    </x:row>
    <x:row r="88">
      <x:c r="A88" t="s">
        <x:v>452</x:v>
      </x:c>
      <x:c r="B88" t="s">
        <x:v>448</x:v>
      </x:c>
      <x:c r="C88" t="s">
        <x:v>252</x:v>
      </x:c>
      <x:c r="D88" t="s">
        <x:v>453</x:v>
      </x:c>
      <x:c r="E88" t="s">
        <x:v>235</x:v>
      </x:c>
      <x:c r="F88" t="s">
        <x:v>236</x:v>
      </x:c>
      <x:c r="G88" t="s">
        <x:v>150</x:v>
      </x:c>
      <x:c r="H88" s="2">
        <x:v>45323</x:v>
      </x:c>
      <x:c r="I88" s="2">
        <x:v>46237</x:v>
      </x:c>
      <x:c r="J88" s="2">
        <x:v>46329</x:v>
      </x:c>
    </x:row>
    <x:row r="89">
      <x:c r="A89" t="s">
        <x:v>454</x:v>
      </x:c>
      <x:c r="B89" t="s">
        <x:v>455</x:v>
      </x:c>
      <x:c r="C89" t="s">
        <x:v>295</x:v>
      </x:c>
      <x:c r="D89" t="s">
        <x:v>456</x:v>
      </x:c>
      <x:c r="E89" t="s">
        <x:v>235</x:v>
      </x:c>
      <x:c r="F89" t="s">
        <x:v>236</x:v>
      </x:c>
      <x:c r="G89" t="s">
        <x:v>153</x:v>
      </x:c>
      <x:c r="H89" s="2">
        <x:v>45852</x:v>
      </x:c>
      <x:c r="I89" s="2">
        <x:v>46259</x:v>
      </x:c>
      <x:c r="J89" s="2">
        <x:v>46351</x:v>
      </x:c>
    </x:row>
    <x:row r="90">
      <x:c r="A90" t="s">
        <x:v>457</x:v>
      </x:c>
      <x:c r="B90" t="s">
        <x:v>455</x:v>
      </x:c>
      <x:c r="C90" t="s">
        <x:v>233</x:v>
      </x:c>
      <x:c r="D90" t="s">
        <x:v>458</x:v>
      </x:c>
      <x:c r="E90" t="s">
        <x:v>235</x:v>
      </x:c>
      <x:c r="F90" t="s">
        <x:v>236</x:v>
      </x:c>
      <x:c r="G90" t="s">
        <x:v>153</x:v>
      </x:c>
      <x:c r="H90" s="2">
        <x:v>45852</x:v>
      </x:c>
      <x:c r="I90" s="2">
        <x:v>46259</x:v>
      </x:c>
      <x:c r="J90" s="2">
        <x:v>46351</x:v>
      </x:c>
    </x:row>
    <x:row r="91">
      <x:c r="A91" t="s">
        <x:v>459</x:v>
      </x:c>
      <x:c r="B91" t="s">
        <x:v>455</x:v>
      </x:c>
      <x:c r="C91" t="s">
        <x:v>242</x:v>
      </x:c>
      <x:c r="D91" t="s">
        <x:v>460</x:v>
      </x:c>
      <x:c r="E91" t="s">
        <x:v>84</x:v>
      </x:c>
      <x:c r="F91" t="s">
        <x:v>240</x:v>
      </x:c>
      <x:c r="G91" t="s">
        <x:v>153</x:v>
      </x:c>
      <x:c r="H91" s="2">
        <x:v>45931</x:v>
      </x:c>
      <x:c r="I91" s="2">
        <x:v>46259</x:v>
      </x:c>
      <x:c r="J91" s="2">
        <x:v>46320</x:v>
      </x:c>
    </x:row>
    <x:row r="92">
      <x:c r="A92" t="s">
        <x:v>461</x:v>
      </x:c>
      <x:c r="B92" t="s">
        <x:v>462</x:v>
      </x:c>
      <x:c r="C92" t="s">
        <x:v>295</x:v>
      </x:c>
      <x:c r="D92" t="s">
        <x:v>463</x:v>
      </x:c>
      <x:c r="E92" t="s">
        <x:v>235</x:v>
      </x:c>
      <x:c r="F92" t="s">
        <x:v>236</x:v>
      </x:c>
      <x:c r="G92" t="s">
        <x:v>156</x:v>
      </x:c>
      <x:c r="H92" s="2">
        <x:v>45012</x:v>
      </x:c>
      <x:c r="I92" s="2">
        <x:v>46156</x:v>
      </x:c>
      <x:c r="J92" s="2">
        <x:v>46340</x:v>
      </x:c>
    </x:row>
    <x:row r="93">
      <x:c r="A93" t="s">
        <x:v>464</x:v>
      </x:c>
      <x:c r="B93" t="s">
        <x:v>462</x:v>
      </x:c>
      <x:c r="C93" t="s">
        <x:v>233</x:v>
      </x:c>
      <x:c r="D93" t="s">
        <x:v>465</x:v>
      </x:c>
      <x:c r="E93" t="s">
        <x:v>235</x:v>
      </x:c>
      <x:c r="F93" t="s">
        <x:v>236</x:v>
      </x:c>
      <x:c r="G93" t="s">
        <x:v>156</x:v>
      </x:c>
      <x:c r="H93" s="2">
        <x:v>45012</x:v>
      </x:c>
      <x:c r="I93" s="2">
        <x:v>46156</x:v>
      </x:c>
      <x:c r="J93" s="2">
        <x:v>46340</x:v>
      </x:c>
    </x:row>
    <x:row r="94">
      <x:c r="A94" t="s">
        <x:v>466</x:v>
      </x:c>
      <x:c r="B94" t="s">
        <x:v>462</x:v>
      </x:c>
      <x:c r="C94" t="s">
        <x:v>256</x:v>
      </x:c>
      <x:c r="D94" t="s">
        <x:v>467</x:v>
      </x:c>
      <x:c r="E94" t="s">
        <x:v>235</x:v>
      </x:c>
      <x:c r="F94" t="s">
        <x:v>236</x:v>
      </x:c>
      <x:c r="G94" t="s">
        <x:v>156</x:v>
      </x:c>
      <x:c r="H94" s="2">
        <x:v>45031</x:v>
      </x:c>
      <x:c r="I94" s="2">
        <x:v>46249</x:v>
      </x:c>
      <x:c r="J94" s="2">
        <x:v>46341</x:v>
      </x:c>
    </x:row>
    <x:row r="95">
      <x:c r="A95" t="s">
        <x:v>468</x:v>
      </x:c>
      <x:c r="B95" t="s">
        <x:v>469</x:v>
      </x:c>
      <x:c r="C95" t="s">
        <x:v>295</x:v>
      </x:c>
      <x:c r="D95" t="s">
        <x:v>470</x:v>
      </x:c>
      <x:c r="E95" t="s">
        <x:v>235</x:v>
      </x:c>
      <x:c r="F95" t="s">
        <x:v>236</x:v>
      </x:c>
      <x:c r="G95" t="s">
        <x:v>159</x:v>
      </x:c>
      <x:c r="H95" s="2">
        <x:v>45435</x:v>
      </x:c>
      <x:c r="I95" s="2">
        <x:v>46212</x:v>
      </x:c>
      <x:c r="J95" s="2">
        <x:v>46396</x:v>
      </x:c>
    </x:row>
    <x:row r="96">
      <x:c r="A96" t="s">
        <x:v>471</x:v>
      </x:c>
      <x:c r="B96" t="s">
        <x:v>469</x:v>
      </x:c>
      <x:c r="C96" t="s">
        <x:v>233</x:v>
      </x:c>
      <x:c r="D96" t="s">
        <x:v>472</x:v>
      </x:c>
      <x:c r="E96" t="s">
        <x:v>235</x:v>
      </x:c>
      <x:c r="F96" t="s">
        <x:v>236</x:v>
      </x:c>
      <x:c r="G96" t="s">
        <x:v>159</x:v>
      </x:c>
      <x:c r="H96" s="2">
        <x:v>45435</x:v>
      </x:c>
      <x:c r="I96" s="2">
        <x:v>46212</x:v>
      </x:c>
      <x:c r="J96" s="2">
        <x:v>46396</x:v>
      </x:c>
    </x:row>
    <x:row r="97">
      <x:c r="A97" t="s">
        <x:v>473</x:v>
      </x:c>
      <x:c r="B97" t="s">
        <x:v>469</x:v>
      </x:c>
      <x:c r="C97" t="s">
        <x:v>252</x:v>
      </x:c>
      <x:c r="D97" t="s">
        <x:v>474</x:v>
      </x:c>
      <x:c r="E97" t="s">
        <x:v>84</x:v>
      </x:c>
      <x:c r="F97" t="s">
        <x:v>240</x:v>
      </x:c>
      <x:c r="G97" t="s">
        <x:v>159</x:v>
      </x:c>
      <x:c r="H97" s="2">
        <x:v>45566</x:v>
      </x:c>
      <x:c r="I97" s="2">
        <x:v>46212</x:v>
      </x:c>
      <x:c r="J97" s="2">
        <x:v>46304</x:v>
      </x:c>
    </x:row>
    <x:row r="98">
      <x:c r="A98" t="s">
        <x:v>475</x:v>
      </x:c>
      <x:c r="B98" t="s">
        <x:v>476</x:v>
      </x:c>
      <x:c r="C98" t="s">
        <x:v>238</x:v>
      </x:c>
      <x:c r="D98" t="s">
        <x:v>477</x:v>
      </x:c>
      <x:c r="E98" t="s">
        <x:v>84</x:v>
      </x:c>
      <x:c r="F98" t="s">
        <x:v>240</x:v>
      </x:c>
      <x:c r="G98" t="s">
        <x:v>162</x:v>
      </x:c>
      <x:c r="H98" s="2">
        <x:v>45383</x:v>
      </x:c>
      <x:c r="I98" s="2">
        <x:v>46194</x:v>
      </x:c>
      <x:c r="J98" s="2">
        <x:v>46295</x:v>
      </x:c>
    </x:row>
    <x:row r="99">
      <x:c r="A99" t="s">
        <x:v>478</x:v>
      </x:c>
      <x:c r="B99" t="s">
        <x:v>476</x:v>
      </x:c>
      <x:c r="C99" t="s">
        <x:v>233</x:v>
      </x:c>
      <x:c r="D99" t="s">
        <x:v>479</x:v>
      </x:c>
      <x:c r="E99" t="s">
        <x:v>235</x:v>
      </x:c>
      <x:c r="F99" t="s">
        <x:v>236</x:v>
      </x:c>
      <x:c r="G99" t="s">
        <x:v>162</x:v>
      </x:c>
      <x:c r="H99" s="2">
        <x:v>45243</x:v>
      </x:c>
      <x:c r="I99" s="2">
        <x:v>46194</x:v>
      </x:c>
      <x:c r="J99" s="2">
        <x:v>46377</x:v>
      </x:c>
    </x:row>
    <x:row r="100">
      <x:c r="A100" t="s">
        <x:v>480</x:v>
      </x:c>
      <x:c r="B100" t="s">
        <x:v>476</x:v>
      </x:c>
      <x:c r="C100" t="s">
        <x:v>242</x:v>
      </x:c>
      <x:c r="D100" t="s">
        <x:v>481</x:v>
      </x:c>
      <x:c r="E100" t="s">
        <x:v>244</x:v>
      </x:c>
      <x:c r="F100" t="s">
        <x:v>245</x:v>
      </x:c>
      <x:c r="G100" t="s">
        <x:v>162</x:v>
      </x:c>
      <x:c r="H100" s="2"/>
      <x:c r="I100" s="2"/>
      <x:c r="J100" s="2">
        <x:v>46310</x:v>
      </x:c>
    </x:row>
    <x:row r="101">
      <x:c r="A101" t="s">
        <x:v>482</x:v>
      </x:c>
      <x:c r="B101" t="s">
        <x:v>483</x:v>
      </x:c>
      <x:c r="C101" t="s">
        <x:v>312</x:v>
      </x:c>
      <x:c r="D101" t="s">
        <x:v>484</x:v>
      </x:c>
      <x:c r="E101" t="s">
        <x:v>84</x:v>
      </x:c>
      <x:c r="F101" t="s">
        <x:v>240</x:v>
      </x:c>
      <x:c r="G101" t="s">
        <x:v>165</x:v>
      </x:c>
      <x:c r="H101" s="2">
        <x:v>45717</x:v>
      </x:c>
      <x:c r="I101" s="2">
        <x:v>46251</x:v>
      </x:c>
      <x:c r="J101" s="2">
        <x:v>46312</x:v>
      </x:c>
    </x:row>
    <x:row r="102">
      <x:c r="A102" t="s">
        <x:v>485</x:v>
      </x:c>
      <x:c r="B102" t="s">
        <x:v>483</x:v>
      </x:c>
      <x:c r="C102" t="s">
        <x:v>233</x:v>
      </x:c>
      <x:c r="D102" t="s">
        <x:v>486</x:v>
      </x:c>
      <x:c r="E102" t="s">
        <x:v>235</x:v>
      </x:c>
      <x:c r="F102" t="s">
        <x:v>236</x:v>
      </x:c>
      <x:c r="G102" t="s">
        <x:v>165</x:v>
      </x:c>
      <x:c r="H102" s="2">
        <x:v>45663</x:v>
      </x:c>
      <x:c r="I102" s="2">
        <x:v>46251</x:v>
      </x:c>
      <x:c r="J102" s="2">
        <x:v>46343</x:v>
      </x:c>
    </x:row>
    <x:row r="103">
      <x:c r="A103" t="s">
        <x:v>487</x:v>
      </x:c>
      <x:c r="B103" t="s">
        <x:v>483</x:v>
      </x:c>
      <x:c r="C103" t="s">
        <x:v>252</x:v>
      </x:c>
      <x:c r="D103" t="s">
        <x:v>488</x:v>
      </x:c>
      <x:c r="E103" t="s">
        <x:v>235</x:v>
      </x:c>
      <x:c r="F103" t="s">
        <x:v>236</x:v>
      </x:c>
      <x:c r="G103" t="s">
        <x:v>489</x:v>
      </x:c>
      <x:c r="H103" s="2">
        <x:v>45703</x:v>
      </x:c>
      <x:c r="I103" s="2">
        <x:v>46251</x:v>
      </x:c>
      <x:c r="J103" s="2">
        <x:v>46343</x:v>
      </x:c>
    </x:row>
    <x:row r="104">
      <x:c r="A104" t="s">
        <x:v>490</x:v>
      </x:c>
      <x:c r="B104" t="s">
        <x:v>491</x:v>
      </x:c>
      <x:c r="C104" t="s">
        <x:v>238</x:v>
      </x:c>
      <x:c r="D104" t="s">
        <x:v>492</x:v>
      </x:c>
      <x:c r="E104" t="s">
        <x:v>84</x:v>
      </x:c>
      <x:c r="F104" t="s">
        <x:v>240</x:v>
      </x:c>
      <x:c r="G104" t="s">
        <x:v>168</x:v>
      </x:c>
      <x:c r="H104" s="2">
        <x:v>45667</x:v>
      </x:c>
      <x:c r="I104" s="2">
        <x:v>46199</x:v>
      </x:c>
      <x:c r="J104" s="2">
        <x:v>46291</x:v>
      </x:c>
    </x:row>
    <x:row r="105">
      <x:c r="A105" t="s">
        <x:v>493</x:v>
      </x:c>
      <x:c r="B105" t="s">
        <x:v>491</x:v>
      </x:c>
      <x:c r="C105" t="s">
        <x:v>233</x:v>
      </x:c>
      <x:c r="D105" t="s">
        <x:v>494</x:v>
      </x:c>
      <x:c r="E105" t="s">
        <x:v>235</x:v>
      </x:c>
      <x:c r="F105" t="s">
        <x:v>236</x:v>
      </x:c>
      <x:c r="G105" t="s">
        <x:v>168</x:v>
      </x:c>
      <x:c r="H105" s="2">
        <x:v>45446</x:v>
      </x:c>
      <x:c r="I105" s="2">
        <x:v>46199</x:v>
      </x:c>
      <x:c r="J105" s="2">
        <x:v>46382</x:v>
      </x:c>
    </x:row>
    <x:row r="106">
      <x:c r="A106" t="s">
        <x:v>495</x:v>
      </x:c>
      <x:c r="B106" t="s">
        <x:v>491</x:v>
      </x:c>
      <x:c r="C106" t="s">
        <x:v>252</x:v>
      </x:c>
      <x:c r="D106" t="s">
        <x:v>496</x:v>
      </x:c>
      <x:c r="E106" t="s">
        <x:v>235</x:v>
      </x:c>
      <x:c r="F106" t="s">
        <x:v>236</x:v>
      </x:c>
      <x:c r="G106" t="s">
        <x:v>168</x:v>
      </x:c>
      <x:c r="H106" s="2">
        <x:v>45505</x:v>
      </x:c>
      <x:c r="I106" s="2">
        <x:v>46235</x:v>
      </x:c>
      <x:c r="J106" s="2">
        <x:v>46327</x:v>
      </x:c>
    </x:row>
    <x:row r="107">
      <x:c r="A107" t="s">
        <x:v>497</x:v>
      </x:c>
      <x:c r="B107" t="s">
        <x:v>498</x:v>
      </x:c>
      <x:c r="C107" t="s">
        <x:v>295</x:v>
      </x:c>
      <x:c r="D107" t="s">
        <x:v>499</x:v>
      </x:c>
      <x:c r="E107" t="s">
        <x:v>235</x:v>
      </x:c>
      <x:c r="F107" t="s">
        <x:v>236</x:v>
      </x:c>
      <x:c r="G107" t="s">
        <x:v>171</x:v>
      </x:c>
      <x:c r="H107" s="2">
        <x:v>45712</x:v>
      </x:c>
      <x:c r="I107" s="2">
        <x:v>46240</x:v>
      </x:c>
      <x:c r="J107" s="2">
        <x:v>46332</x:v>
      </x:c>
    </x:row>
    <x:row r="108">
      <x:c r="A108" t="s">
        <x:v>500</x:v>
      </x:c>
      <x:c r="B108" t="s">
        <x:v>498</x:v>
      </x:c>
      <x:c r="C108" t="s">
        <x:v>233</x:v>
      </x:c>
      <x:c r="D108" t="s">
        <x:v>501</x:v>
      </x:c>
      <x:c r="E108" t="s">
        <x:v>235</x:v>
      </x:c>
      <x:c r="F108" t="s">
        <x:v>236</x:v>
      </x:c>
      <x:c r="G108" t="s">
        <x:v>171</x:v>
      </x:c>
      <x:c r="H108" s="2">
        <x:v>45712</x:v>
      </x:c>
      <x:c r="I108" s="2">
        <x:v>46240</x:v>
      </x:c>
      <x:c r="J108" s="2">
        <x:v>46332</x:v>
      </x:c>
    </x:row>
    <x:row r="109">
      <x:c r="A109" t="s">
        <x:v>502</x:v>
      </x:c>
      <x:c r="B109" t="s">
        <x:v>498</x:v>
      </x:c>
      <x:c r="C109" t="s">
        <x:v>252</x:v>
      </x:c>
      <x:c r="D109" t="s">
        <x:v>503</x:v>
      </x:c>
      <x:c r="E109" t="s">
        <x:v>84</x:v>
      </x:c>
      <x:c r="F109" t="s">
        <x:v>240</x:v>
      </x:c>
      <x:c r="G109" t="s">
        <x:v>504</x:v>
      </x:c>
      <x:c r="H109" s="2">
        <x:v>45778</x:v>
      </x:c>
      <x:c r="I109" s="2">
        <x:v>46240</x:v>
      </x:c>
      <x:c r="J109" s="2">
        <x:v>46301</x:v>
      </x:c>
    </x:row>
    <x:row r="110">
      <x:c r="A110" t="s">
        <x:v>505</x:v>
      </x:c>
      <x:c r="B110" t="s">
        <x:v>506</x:v>
      </x:c>
      <x:c r="C110" t="s">
        <x:v>295</x:v>
      </x:c>
      <x:c r="D110" t="s">
        <x:v>507</x:v>
      </x:c>
      <x:c r="E110" t="s">
        <x:v>235</x:v>
      </x:c>
      <x:c r="F110" t="s">
        <x:v>236</x:v>
      </x:c>
      <x:c r="G110" t="s">
        <x:v>174</x:v>
      </x:c>
      <x:c r="H110" s="2">
        <x:v>44973</x:v>
      </x:c>
      <x:c r="I110" s="2">
        <x:v>46231</x:v>
      </x:c>
      <x:c r="J110" s="2">
        <x:v>46323</x:v>
      </x:c>
    </x:row>
    <x:row r="111">
      <x:c r="A111" t="s">
        <x:v>508</x:v>
      </x:c>
      <x:c r="B111" t="s">
        <x:v>506</x:v>
      </x:c>
      <x:c r="C111" t="s">
        <x:v>233</x:v>
      </x:c>
      <x:c r="D111" t="s">
        <x:v>509</x:v>
      </x:c>
      <x:c r="E111" t="s">
        <x:v>235</x:v>
      </x:c>
      <x:c r="F111" t="s">
        <x:v>236</x:v>
      </x:c>
      <x:c r="G111" t="s">
        <x:v>174</x:v>
      </x:c>
      <x:c r="H111" s="2">
        <x:v>44973</x:v>
      </x:c>
      <x:c r="I111" s="2">
        <x:v>46231</x:v>
      </x:c>
      <x:c r="J111" s="2">
        <x:v>46323</x:v>
      </x:c>
    </x:row>
    <x:row r="112">
      <x:c r="A112" t="s">
        <x:v>510</x:v>
      </x:c>
      <x:c r="B112" t="s">
        <x:v>506</x:v>
      </x:c>
      <x:c r="C112" t="s">
        <x:v>252</x:v>
      </x:c>
      <x:c r="D112" t="s">
        <x:v>511</x:v>
      </x:c>
      <x:c r="E112" t="s">
        <x:v>235</x:v>
      </x:c>
      <x:c r="F112" t="s">
        <x:v>236</x:v>
      </x:c>
      <x:c r="G112" t="s">
        <x:v>99</x:v>
      </x:c>
      <x:c r="H112" s="2">
        <x:v>45047</x:v>
      </x:c>
      <x:c r="I112" s="2">
        <x:v>46231</x:v>
      </x:c>
      <x:c r="J112" s="2">
        <x:v>46323</x:v>
      </x:c>
    </x:row>
    <x:row r="113">
      <x:c r="A113" t="s">
        <x:v>512</x:v>
      </x:c>
      <x:c r="B113" t="s">
        <x:v>513</x:v>
      </x:c>
      <x:c r="C113" t="s">
        <x:v>312</x:v>
      </x:c>
      <x:c r="D113" t="s">
        <x:v>514</x:v>
      </x:c>
      <x:c r="E113" t="s">
        <x:v>235</x:v>
      </x:c>
      <x:c r="F113" t="s">
        <x:v>236</x:v>
      </x:c>
      <x:c r="G113" t="s">
        <x:v>177</x:v>
      </x:c>
      <x:c r="H113" s="2">
        <x:v>45320</x:v>
      </x:c>
      <x:c r="I113" s="2">
        <x:v>46186</x:v>
      </x:c>
      <x:c r="J113" s="2">
        <x:v>46369</x:v>
      </x:c>
    </x:row>
    <x:row r="114">
      <x:c r="A114" t="s">
        <x:v>515</x:v>
      </x:c>
      <x:c r="B114" t="s">
        <x:v>513</x:v>
      </x:c>
      <x:c r="C114" t="s">
        <x:v>256</x:v>
      </x:c>
      <x:c r="D114" t="s">
        <x:v>516</x:v>
      </x:c>
      <x:c r="E114" t="s">
        <x:v>235</x:v>
      </x:c>
      <x:c r="F114" t="s">
        <x:v>236</x:v>
      </x:c>
      <x:c r="G114" t="s">
        <x:v>177</x:v>
      </x:c>
      <x:c r="H114" s="2">
        <x:v>45320</x:v>
      </x:c>
      <x:c r="I114" s="2">
        <x:v>46186</x:v>
      </x:c>
      <x:c r="J114" s="2">
        <x:v>46369</x:v>
      </x:c>
    </x:row>
    <x:row r="115">
      <x:c r="A115" t="s">
        <x:v>517</x:v>
      </x:c>
      <x:c r="B115" t="s">
        <x:v>513</x:v>
      </x:c>
      <x:c r="C115" t="s">
        <x:v>233</x:v>
      </x:c>
      <x:c r="D115" t="s">
        <x:v>518</x:v>
      </x:c>
      <x:c r="E115" t="s">
        <x:v>84</x:v>
      </x:c>
      <x:c r="F115" t="s">
        <x:v>240</x:v>
      </x:c>
      <x:c r="G115" t="s">
        <x:v>177</x:v>
      </x:c>
      <x:c r="H115" s="2">
        <x:v>45444</x:v>
      </x:c>
      <x:c r="I115" s="2">
        <x:v>46186</x:v>
      </x:c>
      <x:c r="J115" s="2">
        <x:v>46295</x:v>
      </x:c>
    </x:row>
    <x:row r="116">
      <x:c r="A116" t="s">
        <x:v>519</x:v>
      </x:c>
      <x:c r="B116" t="s">
        <x:v>520</x:v>
      </x:c>
      <x:c r="C116" t="s">
        <x:v>256</x:v>
      </x:c>
      <x:c r="D116" t="s">
        <x:v>521</x:v>
      </x:c>
      <x:c r="E116" t="s">
        <x:v>235</x:v>
      </x:c>
      <x:c r="F116" t="s">
        <x:v>236</x:v>
      </x:c>
      <x:c r="G116" t="s">
        <x:v>111</x:v>
      </x:c>
      <x:c r="H116" s="2">
        <x:v>45397</x:v>
      </x:c>
      <x:c r="I116" s="2">
        <x:v>46225</x:v>
      </x:c>
      <x:c r="J116" s="2">
        <x:v>46317</x:v>
      </x:c>
    </x:row>
    <x:row r="117">
      <x:c r="A117" t="s">
        <x:v>522</x:v>
      </x:c>
      <x:c r="B117" t="s">
        <x:v>520</x:v>
      </x:c>
      <x:c r="C117" t="s">
        <x:v>233</x:v>
      </x:c>
      <x:c r="D117" t="s">
        <x:v>523</x:v>
      </x:c>
      <x:c r="E117" t="s">
        <x:v>235</x:v>
      </x:c>
      <x:c r="F117" t="s">
        <x:v>236</x:v>
      </x:c>
      <x:c r="G117" t="s">
        <x:v>111</x:v>
      </x:c>
      <x:c r="H117" s="2">
        <x:v>45397</x:v>
      </x:c>
      <x:c r="I117" s="2">
        <x:v>46225</x:v>
      </x:c>
      <x:c r="J117" s="2">
        <x:v>46317</x:v>
      </x:c>
    </x:row>
    <x:row r="118">
      <x:c r="A118" t="s">
        <x:v>524</x:v>
      </x:c>
      <x:c r="B118" t="s">
        <x:v>520</x:v>
      </x:c>
      <x:c r="C118" t="s">
        <x:v>252</x:v>
      </x:c>
      <x:c r="D118" t="s">
        <x:v>525</x:v>
      </x:c>
      <x:c r="E118" t="s">
        <x:v>235</x:v>
      </x:c>
      <x:c r="F118" t="s">
        <x:v>236</x:v>
      </x:c>
      <x:c r="G118" t="s">
        <x:v>108</x:v>
      </x:c>
      <x:c r="H118" s="2">
        <x:v>45474</x:v>
      </x:c>
      <x:c r="I118" s="2">
        <x:v>46225</x:v>
      </x:c>
      <x:c r="J118" s="2">
        <x:v>46317</x:v>
      </x:c>
    </x:row>
    <x:row r="119">
      <x:c r="A119" t="s">
        <x:v>526</x:v>
      </x:c>
      <x:c r="B119" t="s">
        <x:v>527</x:v>
      </x:c>
      <x:c r="C119" t="s">
        <x:v>256</x:v>
      </x:c>
      <x:c r="D119" t="s">
        <x:v>528</x:v>
      </x:c>
      <x:c r="E119" t="s">
        <x:v>235</x:v>
      </x:c>
      <x:c r="F119" t="s">
        <x:v>236</x:v>
      </x:c>
      <x:c r="G119" t="s">
        <x:v>182</x:v>
      </x:c>
      <x:c r="H119" s="2">
        <x:v>45201</x:v>
      </x:c>
      <x:c r="I119" s="2">
        <x:v>46173</x:v>
      </x:c>
      <x:c r="J119" s="2">
        <x:v>46356</x:v>
      </x:c>
    </x:row>
    <x:row r="120">
      <x:c r="A120" t="s">
        <x:v>529</x:v>
      </x:c>
      <x:c r="B120" t="s">
        <x:v>527</x:v>
      </x:c>
      <x:c r="C120" t="s">
        <x:v>233</x:v>
      </x:c>
      <x:c r="D120" t="s">
        <x:v>530</x:v>
      </x:c>
      <x:c r="E120" t="s">
        <x:v>235</x:v>
      </x:c>
      <x:c r="F120" t="s">
        <x:v>236</x:v>
      </x:c>
      <x:c r="G120" t="s">
        <x:v>182</x:v>
      </x:c>
      <x:c r="H120" s="2">
        <x:v>45201</x:v>
      </x:c>
      <x:c r="I120" s="2">
        <x:v>46173</x:v>
      </x:c>
      <x:c r="J120" s="2">
        <x:v>46356</x:v>
      </x:c>
    </x:row>
    <x:row r="121">
      <x:c r="A121" t="s">
        <x:v>531</x:v>
      </x:c>
      <x:c r="B121" t="s">
        <x:v>527</x:v>
      </x:c>
      <x:c r="C121" t="s">
        <x:v>242</x:v>
      </x:c>
      <x:c r="D121" t="s">
        <x:v>532</x:v>
      </x:c>
      <x:c r="E121" t="s">
        <x:v>84</x:v>
      </x:c>
      <x:c r="F121" t="s">
        <x:v>240</x:v>
      </x:c>
      <x:c r="G121" t="s">
        <x:v>182</x:v>
      </x:c>
      <x:c r="H121" s="2">
        <x:v>45505</x:v>
      </x:c>
      <x:c r="I121" s="2">
        <x:v>46173</x:v>
      </x:c>
      <x:c r="J121" s="2">
        <x:v>46356</x:v>
      </x:c>
    </x:row>
    <x:row r="122">
      <x:c r="A122" t="s">
        <x:v>533</x:v>
      </x:c>
      <x:c r="B122" t="s">
        <x:v>534</x:v>
      </x:c>
      <x:c r="C122" t="s">
        <x:v>256</x:v>
      </x:c>
      <x:c r="D122" t="s">
        <x:v>535</x:v>
      </x:c>
      <x:c r="E122" t="s">
        <x:v>235</x:v>
      </x:c>
      <x:c r="F122" t="s">
        <x:v>236</x:v>
      </x:c>
      <x:c r="G122" t="s">
        <x:v>121</x:v>
      </x:c>
      <x:c r="H122" s="2">
        <x:v>45370</x:v>
      </x:c>
      <x:c r="I122" s="2">
        <x:v>46183</x:v>
      </x:c>
      <x:c r="J122" s="2">
        <x:v>46366</x:v>
      </x:c>
    </x:row>
    <x:row r="123">
      <x:c r="A123" t="s">
        <x:v>536</x:v>
      </x:c>
      <x:c r="B123" t="s">
        <x:v>534</x:v>
      </x:c>
      <x:c r="C123" t="s">
        <x:v>233</x:v>
      </x:c>
      <x:c r="D123" t="s">
        <x:v>537</x:v>
      </x:c>
      <x:c r="E123" t="s">
        <x:v>235</x:v>
      </x:c>
      <x:c r="F123" t="s">
        <x:v>236</x:v>
      </x:c>
      <x:c r="G123" t="s">
        <x:v>121</x:v>
      </x:c>
      <x:c r="H123" s="2">
        <x:v>45370</x:v>
      </x:c>
      <x:c r="I123" s="2">
        <x:v>46183</x:v>
      </x:c>
      <x:c r="J123" s="2">
        <x:v>46366</x:v>
      </x:c>
    </x:row>
    <x:row r="124">
      <x:c r="A124" t="s">
        <x:v>538</x:v>
      </x:c>
      <x:c r="B124" t="s">
        <x:v>534</x:v>
      </x:c>
      <x:c r="C124" t="s">
        <x:v>252</x:v>
      </x:c>
      <x:c r="D124" t="s">
        <x:v>539</x:v>
      </x:c>
      <x:c r="E124" t="s">
        <x:v>235</x:v>
      </x:c>
      <x:c r="F124" t="s">
        <x:v>236</x:v>
      </x:c>
      <x:c r="G124" t="s">
        <x:v>121</x:v>
      </x:c>
      <x:c r="H124" s="2">
        <x:v>45444</x:v>
      </x:c>
      <x:c r="I124" s="2">
        <x:v>46235</x:v>
      </x:c>
      <x:c r="J124" s="2">
        <x:v>46327</x:v>
      </x:c>
    </x:row>
    <x:row r="125">
      <x:c r="A125" t="s">
        <x:v>540</x:v>
      </x:c>
      <x:c r="B125" t="s">
        <x:v>541</x:v>
      </x:c>
      <x:c r="C125" t="s">
        <x:v>312</x:v>
      </x:c>
      <x:c r="D125" t="s">
        <x:v>542</x:v>
      </x:c>
      <x:c r="E125" t="s">
        <x:v>235</x:v>
      </x:c>
      <x:c r="F125" t="s">
        <x:v>236</x:v>
      </x:c>
      <x:c r="G125" t="s">
        <x:v>187</x:v>
      </x:c>
      <x:c r="H125" s="2">
        <x:v>45106</x:v>
      </x:c>
      <x:c r="I125" s="2">
        <x:v>46166</x:v>
      </x:c>
      <x:c r="J125" s="2">
        <x:v>46350</x:v>
      </x:c>
    </x:row>
    <x:row r="126">
      <x:c r="A126" t="s">
        <x:v>543</x:v>
      </x:c>
      <x:c r="B126" t="s">
        <x:v>541</x:v>
      </x:c>
      <x:c r="C126" t="s">
        <x:v>238</x:v>
      </x:c>
      <x:c r="D126" t="s">
        <x:v>544</x:v>
      </x:c>
      <x:c r="E126" t="s">
        <x:v>84</x:v>
      </x:c>
      <x:c r="F126" t="s">
        <x:v>240</x:v>
      </x:c>
      <x:c r="G126" t="s">
        <x:v>187</x:v>
      </x:c>
      <x:c r="H126" s="2">
        <x:v>45536</x:v>
      </x:c>
      <x:c r="I126" s="2">
        <x:v>46166</x:v>
      </x:c>
      <x:c r="J126" s="2">
        <x:v>46350</x:v>
      </x:c>
    </x:row>
    <x:row r="127">
      <x:c r="A127" t="s">
        <x:v>545</x:v>
      </x:c>
      <x:c r="B127" t="s">
        <x:v>541</x:v>
      </x:c>
      <x:c r="C127" t="s">
        <x:v>233</x:v>
      </x:c>
      <x:c r="D127" t="s">
        <x:v>546</x:v>
      </x:c>
      <x:c r="E127" t="s">
        <x:v>235</x:v>
      </x:c>
      <x:c r="F127" t="s">
        <x:v>236</x:v>
      </x:c>
      <x:c r="G127" t="s">
        <x:v>187</x:v>
      </x:c>
      <x:c r="H127" s="2">
        <x:v>45106</x:v>
      </x:c>
      <x:c r="I127" s="2">
        <x:v>46166</x:v>
      </x:c>
      <x:c r="J127" s="2">
        <x:v>46350</x:v>
      </x:c>
    </x:row>
    <x:row r="128">
      <x:c r="A128" t="s">
        <x:v>547</x:v>
      </x:c>
      <x:c r="B128" t="s">
        <x:v>548</x:v>
      </x:c>
      <x:c r="C128" t="s">
        <x:v>312</x:v>
      </x:c>
      <x:c r="D128" t="s">
        <x:v>549</x:v>
      </x:c>
      <x:c r="E128" t="s">
        <x:v>235</x:v>
      </x:c>
      <x:c r="F128" t="s">
        <x:v>236</x:v>
      </x:c>
      <x:c r="G128" t="s">
        <x:v>190</x:v>
      </x:c>
      <x:c r="H128" s="2">
        <x:v>45635</x:v>
      </x:c>
      <x:c r="I128" s="2">
        <x:v>46237</x:v>
      </x:c>
      <x:c r="J128" s="2">
        <x:v>46421</x:v>
      </x:c>
    </x:row>
    <x:row r="129">
      <x:c r="A129" t="s">
        <x:v>550</x:v>
      </x:c>
      <x:c r="B129" t="s">
        <x:v>548</x:v>
      </x:c>
      <x:c r="C129" t="s">
        <x:v>233</x:v>
      </x:c>
      <x:c r="D129" t="s">
        <x:v>551</x:v>
      </x:c>
      <x:c r="E129" t="s">
        <x:v>235</x:v>
      </x:c>
      <x:c r="F129" t="s">
        <x:v>236</x:v>
      </x:c>
      <x:c r="G129" t="s">
        <x:v>190</x:v>
      </x:c>
      <x:c r="H129" s="2">
        <x:v>45635</x:v>
      </x:c>
      <x:c r="I129" s="2">
        <x:v>46237</x:v>
      </x:c>
      <x:c r="J129" s="2">
        <x:v>46421</x:v>
      </x:c>
    </x:row>
    <x:row r="130">
      <x:c r="A130" t="s">
        <x:v>552</x:v>
      </x:c>
      <x:c r="B130" t="s">
        <x:v>548</x:v>
      </x:c>
      <x:c r="C130" t="s">
        <x:v>252</x:v>
      </x:c>
      <x:c r="D130" t="s">
        <x:v>553</x:v>
      </x:c>
      <x:c r="E130" t="s">
        <x:v>235</x:v>
      </x:c>
      <x:c r="F130" t="s">
        <x:v>236</x:v>
      </x:c>
      <x:c r="G130" t="s">
        <x:v>190</x:v>
      </x:c>
      <x:c r="H130" s="2">
        <x:v>45689</x:v>
      </x:c>
      <x:c r="I130" s="2">
        <x:v>46237</x:v>
      </x:c>
      <x:c r="J130" s="2">
        <x:v>46329</x:v>
      </x:c>
    </x:row>
    <x:row r="131">
      <x:c r="A131" t="s">
        <x:v>554</x:v>
      </x:c>
      <x:c r="B131" t="s">
        <x:v>555</x:v>
      </x:c>
      <x:c r="C131" t="s">
        <x:v>256</x:v>
      </x:c>
      <x:c r="D131" t="s">
        <x:v>556</x:v>
      </x:c>
      <x:c r="E131" t="s">
        <x:v>235</x:v>
      </x:c>
      <x:c r="F131" t="s">
        <x:v>236</x:v>
      </x:c>
      <x:c r="G131" t="s">
        <x:v>135</x:v>
      </x:c>
      <x:c r="H131" s="2">
        <x:v>45670</x:v>
      </x:c>
      <x:c r="I131" s="2">
        <x:v>46219</x:v>
      </x:c>
      <x:c r="J131" s="2">
        <x:v>46311</x:v>
      </x:c>
    </x:row>
    <x:row r="132">
      <x:c r="A132" t="s">
        <x:v>557</x:v>
      </x:c>
      <x:c r="B132" t="s">
        <x:v>555</x:v>
      </x:c>
      <x:c r="C132" t="s">
        <x:v>233</x:v>
      </x:c>
      <x:c r="D132" t="s">
        <x:v>558</x:v>
      </x:c>
      <x:c r="E132" t="s">
        <x:v>235</x:v>
      </x:c>
      <x:c r="F132" t="s">
        <x:v>236</x:v>
      </x:c>
      <x:c r="G132" t="s">
        <x:v>135</x:v>
      </x:c>
      <x:c r="H132" s="2">
        <x:v>45670</x:v>
      </x:c>
      <x:c r="I132" s="2">
        <x:v>46219</x:v>
      </x:c>
      <x:c r="J132" s="2">
        <x:v>46311</x:v>
      </x:c>
    </x:row>
    <x:row r="133">
      <x:c r="A133" t="s">
        <x:v>559</x:v>
      </x:c>
      <x:c r="B133" t="s">
        <x:v>555</x:v>
      </x:c>
      <x:c r="C133" t="s">
        <x:v>252</x:v>
      </x:c>
      <x:c r="D133" t="s">
        <x:v>560</x:v>
      </x:c>
      <x:c r="E133" t="s">
        <x:v>235</x:v>
      </x:c>
      <x:c r="F133" t="s">
        <x:v>236</x:v>
      </x:c>
      <x:c r="G133" t="s">
        <x:v>135</x:v>
      </x:c>
      <x:c r="H133" s="2">
        <x:v>45748</x:v>
      </x:c>
      <x:c r="I133" s="2">
        <x:v>46219</x:v>
      </x:c>
      <x:c r="J133" s="2">
        <x:v>46311</x:v>
      </x:c>
    </x:row>
    <x:row r="134">
      <x:c r="A134" t="s">
        <x:v>561</x:v>
      </x:c>
      <x:c r="B134" t="s">
        <x:v>562</x:v>
      </x:c>
      <x:c r="C134" t="s">
        <x:v>295</x:v>
      </x:c>
      <x:c r="D134" t="s">
        <x:v>563</x:v>
      </x:c>
      <x:c r="E134" t="s">
        <x:v>235</x:v>
      </x:c>
      <x:c r="F134" t="s">
        <x:v>236</x:v>
      </x:c>
      <x:c r="G134" t="s">
        <x:v>195</x:v>
      </x:c>
      <x:c r="H134" s="2">
        <x:v>45775</x:v>
      </x:c>
      <x:c r="I134" s="2">
        <x:v>46254</x:v>
      </x:c>
      <x:c r="J134" s="2">
        <x:v>46346</x:v>
      </x:c>
    </x:row>
    <x:row r="135">
      <x:c r="A135" t="s">
        <x:v>564</x:v>
      </x:c>
      <x:c r="B135" t="s">
        <x:v>562</x:v>
      </x:c>
      <x:c r="C135" t="s">
        <x:v>233</x:v>
      </x:c>
      <x:c r="D135" t="s">
        <x:v>565</x:v>
      </x:c>
      <x:c r="E135" t="s">
        <x:v>235</x:v>
      </x:c>
      <x:c r="F135" t="s">
        <x:v>236</x:v>
      </x:c>
      <x:c r="G135" t="s">
        <x:v>195</x:v>
      </x:c>
      <x:c r="H135" s="2">
        <x:v>45775</x:v>
      </x:c>
      <x:c r="I135" s="2">
        <x:v>46254</x:v>
      </x:c>
      <x:c r="J135" s="2">
        <x:v>46346</x:v>
      </x:c>
    </x:row>
    <x:row r="136">
      <x:c r="A136" t="s">
        <x:v>566</x:v>
      </x:c>
      <x:c r="B136" t="s">
        <x:v>562</x:v>
      </x:c>
      <x:c r="C136" t="s">
        <x:v>252</x:v>
      </x:c>
      <x:c r="D136" t="s">
        <x:v>567</x:v>
      </x:c>
      <x:c r="E136" t="s">
        <x:v>84</x:v>
      </x:c>
      <x:c r="F136" t="s">
        <x:v>240</x:v>
      </x:c>
      <x:c r="G136" t="s">
        <x:v>195</x:v>
      </x:c>
      <x:c r="H136" s="2">
        <x:v>45853</x:v>
      </x:c>
      <x:c r="I136" s="2">
        <x:v>46254</x:v>
      </x:c>
      <x:c r="J136" s="2">
        <x:v>46315</x:v>
      </x:c>
    </x:row>
    <x:row r="137">
      <x:c r="A137" t="s">
        <x:v>568</x:v>
      </x:c>
      <x:c r="B137" t="s">
        <x:v>569</x:v>
      </x:c>
      <x:c r="C137" t="s">
        <x:v>312</x:v>
      </x:c>
      <x:c r="D137" t="s">
        <x:v>570</x:v>
      </x:c>
      <x:c r="E137" t="s">
        <x:v>235</x:v>
      </x:c>
      <x:c r="F137" t="s">
        <x:v>236</x:v>
      </x:c>
      <x:c r="G137" t="s">
        <x:v>198</x:v>
      </x:c>
      <x:c r="H137" s="2">
        <x:v>45530</x:v>
      </x:c>
      <x:c r="I137" s="2">
        <x:v>46202</x:v>
      </x:c>
      <x:c r="J137" s="2">
        <x:v>46385</x:v>
      </x:c>
    </x:row>
    <x:row r="138">
      <x:c r="A138" t="s">
        <x:v>571</x:v>
      </x:c>
      <x:c r="B138" t="s">
        <x:v>569</x:v>
      </x:c>
      <x:c r="C138" t="s">
        <x:v>238</x:v>
      </x:c>
      <x:c r="D138" t="s">
        <x:v>572</x:v>
      </x:c>
      <x:c r="E138" t="s">
        <x:v>84</x:v>
      </x:c>
      <x:c r="F138" t="s">
        <x:v>240</x:v>
      </x:c>
      <x:c r="G138" t="s">
        <x:v>198</x:v>
      </x:c>
      <x:c r="H138" s="2">
        <x:v>45672</x:v>
      </x:c>
      <x:c r="I138" s="2">
        <x:v>46202</x:v>
      </x:c>
      <x:c r="J138" s="2">
        <x:v>46294</x:v>
      </x:c>
    </x:row>
    <x:row r="139">
      <x:c r="A139" t="s">
        <x:v>573</x:v>
      </x:c>
      <x:c r="B139" t="s">
        <x:v>569</x:v>
      </x:c>
      <x:c r="C139" t="s">
        <x:v>242</x:v>
      </x:c>
      <x:c r="D139" t="s">
        <x:v>574</x:v>
      </x:c>
      <x:c r="E139" t="s">
        <x:v>244</x:v>
      </x:c>
      <x:c r="F139" t="s">
        <x:v>245</x:v>
      </x:c>
      <x:c r="G139" t="s">
        <x:v>198</x:v>
      </x:c>
      <x:c r="H139" s="2"/>
      <x:c r="I139" s="2"/>
      <x:c r="J139" s="2">
        <x:v>46305</x:v>
      </x:c>
    </x:row>
    <x:row r="140">
      <x:c r="A140" t="s">
        <x:v>575</x:v>
      </x:c>
      <x:c r="B140" t="s">
        <x:v>576</x:v>
      </x:c>
      <x:c r="C140" t="s">
        <x:v>312</x:v>
      </x:c>
      <x:c r="D140" t="s">
        <x:v>577</x:v>
      </x:c>
      <x:c r="E140" t="s">
        <x:v>235</x:v>
      </x:c>
      <x:c r="F140" t="s">
        <x:v>236</x:v>
      </x:c>
      <x:c r="G140" t="s">
        <x:v>201</x:v>
      </x:c>
      <x:c r="H140" s="2">
        <x:v>45733</x:v>
      </x:c>
      <x:c r="I140" s="2">
        <x:v>46245</x:v>
      </x:c>
      <x:c r="J140" s="2">
        <x:v>46429</x:v>
      </x:c>
    </x:row>
    <x:row r="141">
      <x:c r="A141" t="s">
        <x:v>578</x:v>
      </x:c>
      <x:c r="B141" t="s">
        <x:v>576</x:v>
      </x:c>
      <x:c r="C141" t="s">
        <x:v>238</x:v>
      </x:c>
      <x:c r="D141" t="s">
        <x:v>579</x:v>
      </x:c>
      <x:c r="E141" t="s">
        <x:v>84</x:v>
      </x:c>
      <x:c r="F141" t="s">
        <x:v>240</x:v>
      </x:c>
      <x:c r="G141" t="s">
        <x:v>201</x:v>
      </x:c>
      <x:c r="H141" s="2">
        <x:v>45809</x:v>
      </x:c>
      <x:c r="I141" s="2">
        <x:v>46245</x:v>
      </x:c>
      <x:c r="J141" s="2">
        <x:v>46337</x:v>
      </x:c>
    </x:row>
    <x:row r="142">
      <x:c r="A142" t="s">
        <x:v>580</x:v>
      </x:c>
      <x:c r="B142" t="s">
        <x:v>576</x:v>
      </x:c>
      <x:c r="C142" t="s">
        <x:v>233</x:v>
      </x:c>
      <x:c r="D142" t="s">
        <x:v>581</x:v>
      </x:c>
      <x:c r="E142" t="s">
        <x:v>235</x:v>
      </x:c>
      <x:c r="F142" t="s">
        <x:v>236</x:v>
      </x:c>
      <x:c r="G142" t="s">
        <x:v>201</x:v>
      </x:c>
      <x:c r="H142" s="2">
        <x:v>45733</x:v>
      </x:c>
      <x:c r="I142" s="2">
        <x:v>46245</x:v>
      </x:c>
      <x:c r="J142" s="2">
        <x:v>46429</x:v>
      </x:c>
    </x:row>
    <x:row r="143">
      <x:c r="A143" t="s">
        <x:v>582</x:v>
      </x:c>
      <x:c r="B143" t="s">
        <x:v>583</x:v>
      </x:c>
      <x:c r="C143" t="s">
        <x:v>256</x:v>
      </x:c>
      <x:c r="D143" t="s">
        <x:v>584</x:v>
      </x:c>
      <x:c r="E143" t="s">
        <x:v>235</x:v>
      </x:c>
      <x:c r="F143" t="s">
        <x:v>236</x:v>
      </x:c>
      <x:c r="G143" t="s">
        <x:v>204</x:v>
      </x:c>
      <x:c r="H143" s="2">
        <x:v>45481</x:v>
      </x:c>
      <x:c r="I143" s="2">
        <x:v>46207</x:v>
      </x:c>
      <x:c r="J143" s="2">
        <x:v>46299</x:v>
      </x:c>
    </x:row>
    <x:row r="144">
      <x:c r="A144" t="s">
        <x:v>585</x:v>
      </x:c>
      <x:c r="B144" t="s">
        <x:v>583</x:v>
      </x:c>
      <x:c r="C144" t="s">
        <x:v>233</x:v>
      </x:c>
      <x:c r="D144" t="s">
        <x:v>586</x:v>
      </x:c>
      <x:c r="E144" t="s">
        <x:v>235</x:v>
      </x:c>
      <x:c r="F144" t="s">
        <x:v>236</x:v>
      </x:c>
      <x:c r="G144" t="s">
        <x:v>204</x:v>
      </x:c>
      <x:c r="H144" s="2">
        <x:v>45481</x:v>
      </x:c>
      <x:c r="I144" s="2">
        <x:v>46207</x:v>
      </x:c>
      <x:c r="J144" s="2">
        <x:v>46299</x:v>
      </x:c>
    </x:row>
    <x:row r="145">
      <x:c r="A145" t="s">
        <x:v>587</x:v>
      </x:c>
      <x:c r="B145" t="s">
        <x:v>583</x:v>
      </x:c>
      <x:c r="C145" t="s">
        <x:v>252</x:v>
      </x:c>
      <x:c r="D145" t="s">
        <x:v>588</x:v>
      </x:c>
      <x:c r="E145" t="s">
        <x:v>235</x:v>
      </x:c>
      <x:c r="F145" t="s">
        <x:v>236</x:v>
      </x:c>
      <x:c r="G145" t="s">
        <x:v>589</x:v>
      </x:c>
      <x:c r="H145" s="2">
        <x:v>45519</x:v>
      </x:c>
      <x:c r="I145" s="2">
        <x:v>46207</x:v>
      </x:c>
      <x:c r="J145" s="2">
        <x:v>46299</x:v>
      </x:c>
    </x:row>
    <x:row r="146">
      <x:c r="A146" t="s">
        <x:v>590</x:v>
      </x:c>
      <x:c r="B146" t="s">
        <x:v>591</x:v>
      </x:c>
      <x:c r="C146" t="s">
        <x:v>312</x:v>
      </x:c>
      <x:c r="D146" t="s">
        <x:v>592</x:v>
      </x:c>
      <x:c r="E146" t="s">
        <x:v>84</x:v>
      </x:c>
      <x:c r="F146" t="s">
        <x:v>240</x:v>
      </x:c>
      <x:c r="G146" t="s">
        <x:v>144</x:v>
      </x:c>
      <x:c r="H146" s="2">
        <x:v>46041</x:v>
      </x:c>
      <x:c r="I146" s="2">
        <x:v>46261</x:v>
      </x:c>
      <x:c r="J146" s="2">
        <x:v>46322</x:v>
      </x:c>
    </x:row>
    <x:row r="147">
      <x:c r="A147" t="s">
        <x:v>593</x:v>
      </x:c>
      <x:c r="B147" t="s">
        <x:v>591</x:v>
      </x:c>
      <x:c r="C147" t="s">
        <x:v>256</x:v>
      </x:c>
      <x:c r="D147" t="s">
        <x:v>594</x:v>
      </x:c>
      <x:c r="E147" t="s">
        <x:v>235</x:v>
      </x:c>
      <x:c r="F147" t="s">
        <x:v>236</x:v>
      </x:c>
      <x:c r="G147" t="s">
        <x:v>144</x:v>
      </x:c>
      <x:c r="H147" s="2">
        <x:v>46041</x:v>
      </x:c>
      <x:c r="I147" s="2">
        <x:v>46261</x:v>
      </x:c>
      <x:c r="J147" s="2">
        <x:v>46322</x:v>
      </x:c>
    </x:row>
    <x:row r="148">
      <x:c r="A148" t="s">
        <x:v>595</x:v>
      </x:c>
      <x:c r="B148" t="s">
        <x:v>591</x:v>
      </x:c>
      <x:c r="C148" t="s">
        <x:v>233</x:v>
      </x:c>
      <x:c r="D148" t="s">
        <x:v>596</x:v>
      </x:c>
      <x:c r="E148" t="s">
        <x:v>235</x:v>
      </x:c>
      <x:c r="F148" t="s">
        <x:v>236</x:v>
      </x:c>
      <x:c r="G148" t="s">
        <x:v>144</x:v>
      </x:c>
      <x:c r="H148" s="2">
        <x:v>46041</x:v>
      </x:c>
      <x:c r="I148" s="2">
        <x:v>46261</x:v>
      </x:c>
      <x:c r="J148" s="2">
        <x:v>46322</x:v>
      </x:c>
    </x:row>
    <x:row r="149">
      <x:c r="A149" t="s">
        <x:v>597</x:v>
      </x:c>
      <x:c r="B149" t="s">
        <x:v>598</x:v>
      </x:c>
      <x:c r="C149" t="s">
        <x:v>295</x:v>
      </x:c>
      <x:c r="D149" t="s">
        <x:v>599</x:v>
      </x:c>
      <x:c r="E149" t="s">
        <x:v>235</x:v>
      </x:c>
      <x:c r="F149" t="s">
        <x:v>236</x:v>
      </x:c>
      <x:c r="G149" t="s">
        <x:v>210</x:v>
      </x:c>
      <x:c r="H149" s="2">
        <x:v>46062</x:v>
      </x:c>
      <x:c r="I149" s="2">
        <x:v>46263</x:v>
      </x:c>
      <x:c r="J149" s="2">
        <x:v>46355</x:v>
      </x:c>
    </x:row>
    <x:row r="150">
      <x:c r="A150" t="s">
        <x:v>600</x:v>
      </x:c>
      <x:c r="B150" t="s">
        <x:v>598</x:v>
      </x:c>
      <x:c r="C150" t="s">
        <x:v>233</x:v>
      </x:c>
      <x:c r="D150" t="s">
        <x:v>601</x:v>
      </x:c>
      <x:c r="E150" t="s">
        <x:v>235</x:v>
      </x:c>
      <x:c r="F150" t="s">
        <x:v>236</x:v>
      </x:c>
      <x:c r="G150" t="s">
        <x:v>210</x:v>
      </x:c>
      <x:c r="H150" s="2">
        <x:v>46062</x:v>
      </x:c>
      <x:c r="I150" s="2">
        <x:v>46263</x:v>
      </x:c>
      <x:c r="J150" s="2">
        <x:v>46355</x:v>
      </x:c>
    </x:row>
    <x:row r="151">
      <x:c r="A151" t="s">
        <x:v>602</x:v>
      </x:c>
      <x:c r="B151" t="s">
        <x:v>598</x:v>
      </x:c>
      <x:c r="C151" t="s">
        <x:v>252</x:v>
      </x:c>
      <x:c r="D151" t="s">
        <x:v>603</x:v>
      </x:c>
      <x:c r="E151" t="s">
        <x:v>84</x:v>
      </x:c>
      <x:c r="F151" t="s">
        <x:v>240</x:v>
      </x:c>
      <x:c r="G151" t="s">
        <x:v>210</x:v>
      </x:c>
      <x:c r="H151" s="2">
        <x:v>46113</x:v>
      </x:c>
      <x:c r="I151" s="2">
        <x:v>46263</x:v>
      </x:c>
      <x:c r="J151" s="2">
        <x:v>46324</x:v>
      </x:c>
    </x:row>
  </x:sheetData>
  <x:pageMargins left="0.7" right="0.7" top="0.75" bottom="0.75" header="0.3" footer="0.3"/>
  <x:tableParts count="1">
    <x:tablePart xmlns:r="http://schemas.openxmlformats.org/officeDocument/2006/relationships" r:id="Rff4d8ecb1c614a51"/>
  </x:tableParts>
</x:worksheet>
</file>

<file path=xl/worksheets/sheet5.xml><?xml version="1.0" encoding="utf-8"?>
<x:worksheet xmlns:x="http://schemas.openxmlformats.org/spreadsheetml/2006/main">
  <x:sheetFormatPr defaultColWidth="22.6640625" defaultRowHeight="14.399999618530273"/>
  <x:sheetData>
    <x:row r="1">
      <x:c r="A1" t="s">
        <x:v>604</x:v>
      </x:c>
      <x:c r="B1" t="s">
        <x:v>22</x:v>
      </x:c>
      <x:c r="C1" t="s">
        <x:v>605</x:v>
      </x:c>
      <x:c r="D1" t="s">
        <x:v>606</x:v>
      </x:c>
      <x:c r="E1" t="s">
        <x:v>607</x:v>
      </x:c>
      <x:c r="F1" t="s">
        <x:v>608</x:v>
      </x:c>
      <x:c r="G1" t="s">
        <x:v>609</x:v>
      </x:c>
      <x:c r="H1" t="s">
        <x:v>610</x:v>
      </x:c>
      <x:c r="I1" t="s">
        <x:v>611</x:v>
      </x:c>
      <x:c r="J1" t="s">
        <x:v>612</x:v>
      </x:c>
    </x:row>
    <x:row r="2">
      <x:c r="A2" t="s">
        <x:v>613</x:v>
      </x:c>
      <x:c r="B2" t="s">
        <x:v>232</x:v>
      </x:c>
      <x:c r="C2" s="2">
        <x:v>46071</x:v>
      </x:c>
      <x:c r="D2" t="s">
        <x:v>614</x:v>
      </x:c>
      <x:c r="E2" t="s">
        <x:v>41</x:v>
      </x:c>
      <x:c r="F2" t="s">
        <x:v>615</x:v>
      </x:c>
      <x:c r="G2" t="s">
        <x:v>616</x:v>
      </x:c>
      <x:c r="H2" t="s">
        <x:v>617</x:v>
      </x:c>
      <x:c r="I2" t="s">
        <x:v>618</x:v>
      </x:c>
      <x:c r="J2" s="2"/>
    </x:row>
    <x:row r="3">
      <x:c r="A3" t="s">
        <x:v>619</x:v>
      </x:c>
      <x:c r="B3" t="s">
        <x:v>232</x:v>
      </x:c>
      <x:c r="C3" s="2">
        <x:v>46149</x:v>
      </x:c>
      <x:c r="D3" t="s">
        <x:v>620</x:v>
      </x:c>
      <x:c r="E3" t="s">
        <x:v>50</x:v>
      </x:c>
      <x:c r="F3" t="s">
        <x:v>621</x:v>
      </x:c>
      <x:c r="G3" t="s">
        <x:v>622</x:v>
      </x:c>
      <x:c r="H3" t="s">
        <x:v>623</x:v>
      </x:c>
      <x:c r="I3" t="s">
        <x:v>624</x:v>
      </x:c>
      <x:c r="J3" s="2">
        <x:v>46157</x:v>
      </x:c>
    </x:row>
    <x:row r="4">
      <x:c r="A4" t="s">
        <x:v>625</x:v>
      </x:c>
      <x:c r="B4" t="s">
        <x:v>247</x:v>
      </x:c>
      <x:c r="C4" s="2">
        <x:v>46093</x:v>
      </x:c>
      <x:c r="D4" t="s">
        <x:v>614</x:v>
      </x:c>
      <x:c r="E4" t="s">
        <x:v>50</x:v>
      </x:c>
      <x:c r="F4" t="s">
        <x:v>626</x:v>
      </x:c>
      <x:c r="G4" t="s">
        <x:v>627</x:v>
      </x:c>
      <x:c r="H4" t="s">
        <x:v>628</x:v>
      </x:c>
      <x:c r="I4" t="s">
        <x:v>624</x:v>
      </x:c>
      <x:c r="J4" s="2">
        <x:v>46106</x:v>
      </x:c>
    </x:row>
    <x:row r="5">
      <x:c r="A5" t="s">
        <x:v>629</x:v>
      </x:c>
      <x:c r="B5" t="s">
        <x:v>255</x:v>
      </x:c>
      <x:c r="C5" s="2">
        <x:v>46050</x:v>
      </x:c>
      <x:c r="D5" t="s">
        <x:v>620</x:v>
      </x:c>
      <x:c r="E5" t="s">
        <x:v>41</x:v>
      </x:c>
      <x:c r="F5" t="s">
        <x:v>630</x:v>
      </x:c>
      <x:c r="G5" t="s">
        <x:v>631</x:v>
      </x:c>
      <x:c r="H5" t="s">
        <x:v>632</x:v>
      </x:c>
      <x:c r="I5" t="s">
        <x:v>624</x:v>
      </x:c>
      <x:c r="J5" s="2">
        <x:v>46057</x:v>
      </x:c>
    </x:row>
    <x:row r="6">
      <x:c r="A6" t="s">
        <x:v>633</x:v>
      </x:c>
      <x:c r="B6" t="s">
        <x:v>255</x:v>
      </x:c>
      <x:c r="C6" s="2">
        <x:v>46182</x:v>
      </x:c>
      <x:c r="D6" t="s">
        <x:v>623</x:v>
      </x:c>
      <x:c r="E6" t="s">
        <x:v>50</x:v>
      </x:c>
      <x:c r="F6" t="s">
        <x:v>634</x:v>
      </x:c>
      <x:c r="G6" t="s">
        <x:v>635</x:v>
      </x:c>
      <x:c r="H6" t="s">
        <x:v>623</x:v>
      </x:c>
      <x:c r="I6" t="s">
        <x:v>624</x:v>
      </x:c>
      <x:c r="J6" s="2">
        <x:v>46194</x:v>
      </x:c>
    </x:row>
    <x:row r="7">
      <x:c r="A7" t="s">
        <x:v>636</x:v>
      </x:c>
      <x:c r="B7" t="s">
        <x:v>272</x:v>
      </x:c>
      <x:c r="C7" s="2">
        <x:v>46129</x:v>
      </x:c>
      <x:c r="D7" t="s">
        <x:v>620</x:v>
      </x:c>
      <x:c r="E7" t="s">
        <x:v>50</x:v>
      </x:c>
      <x:c r="F7" t="s">
        <x:v>637</x:v>
      </x:c>
      <x:c r="G7" t="s">
        <x:v>638</x:v>
      </x:c>
      <x:c r="H7" t="s">
        <x:v>639</x:v>
      </x:c>
      <x:c r="I7" t="s">
        <x:v>624</x:v>
      </x:c>
      <x:c r="J7" s="2">
        <x:v>46135</x:v>
      </x:c>
    </x:row>
    <x:row r="8">
      <x:c r="A8" t="s">
        <x:v>640</x:v>
      </x:c>
      <x:c r="B8" t="s">
        <x:v>272</x:v>
      </x:c>
      <x:c r="C8" s="2">
        <x:v>46214</x:v>
      </x:c>
      <x:c r="D8" t="s">
        <x:v>620</x:v>
      </x:c>
      <x:c r="E8" t="s">
        <x:v>41</x:v>
      </x:c>
      <x:c r="F8" t="s">
        <x:v>641</x:v>
      </x:c>
      <x:c r="G8" t="s">
        <x:v>642</x:v>
      </x:c>
      <x:c r="H8" t="s">
        <x:v>643</x:v>
      </x:c>
      <x:c r="I8" t="s">
        <x:v>624</x:v>
      </x:c>
      <x:c r="J8" s="2">
        <x:v>46216</x:v>
      </x:c>
    </x:row>
    <x:row r="9">
      <x:c r="A9" t="s">
        <x:v>644</x:v>
      </x:c>
      <x:c r="B9" t="s">
        <x:v>287</x:v>
      </x:c>
      <x:c r="C9" s="2">
        <x:v>46075</x:v>
      </x:c>
      <x:c r="D9" t="s">
        <x:v>620</x:v>
      </x:c>
      <x:c r="E9" t="s">
        <x:v>50</x:v>
      </x:c>
      <x:c r="F9" t="s">
        <x:v>645</x:v>
      </x:c>
      <x:c r="G9" t="s">
        <x:v>646</x:v>
      </x:c>
      <x:c r="H9" t="s">
        <x:v>647</x:v>
      </x:c>
      <x:c r="I9" t="s">
        <x:v>624</x:v>
      </x:c>
      <x:c r="J9" s="2">
        <x:v>46082</x:v>
      </x:c>
    </x:row>
    <x:row r="10">
      <x:c r="A10" t="s">
        <x:v>648</x:v>
      </x:c>
      <x:c r="B10" t="s">
        <x:v>294</x:v>
      </x:c>
      <x:c r="C10" s="2">
        <x:v>46089</x:v>
      </x:c>
      <x:c r="D10" t="s">
        <x:v>620</x:v>
      </x:c>
      <x:c r="E10" t="s">
        <x:v>50</x:v>
      </x:c>
      <x:c r="F10" t="s">
        <x:v>649</x:v>
      </x:c>
      <x:c r="G10" t="s">
        <x:v>650</x:v>
      </x:c>
      <x:c r="H10" t="s">
        <x:v>639</x:v>
      </x:c>
      <x:c r="I10" t="s">
        <x:v>624</x:v>
      </x:c>
      <x:c r="J10" s="2">
        <x:v>46099</x:v>
      </x:c>
    </x:row>
    <x:row r="11">
      <x:c r="A11" t="s">
        <x:v>651</x:v>
      </x:c>
      <x:c r="B11" t="s">
        <x:v>302</x:v>
      </x:c>
      <x:c r="C11" s="2">
        <x:v>46036</x:v>
      </x:c>
      <x:c r="D11" t="s">
        <x:v>652</x:v>
      </x:c>
      <x:c r="E11" t="s">
        <x:v>50</x:v>
      </x:c>
      <x:c r="F11" t="s">
        <x:v>653</x:v>
      </x:c>
      <x:c r="G11" t="s">
        <x:v>654</x:v>
      </x:c>
      <x:c r="H11" t="s">
        <x:v>655</x:v>
      </x:c>
      <x:c r="I11" t="s">
        <x:v>624</x:v>
      </x:c>
      <x:c r="J11" s="2">
        <x:v>46037</x:v>
      </x:c>
    </x:row>
    <x:row r="12">
      <x:c r="A12" t="s">
        <x:v>656</x:v>
      </x:c>
      <x:c r="B12" t="s">
        <x:v>302</x:v>
      </x:c>
      <x:c r="C12" s="2">
        <x:v>46138</x:v>
      </x:c>
      <x:c r="D12" t="s">
        <x:v>657</x:v>
      </x:c>
      <x:c r="E12" t="s">
        <x:v>41</x:v>
      </x:c>
      <x:c r="F12" t="s">
        <x:v>658</x:v>
      </x:c>
      <x:c r="G12" t="s">
        <x:v>659</x:v>
      </x:c>
      <x:c r="H12" t="s">
        <x:v>660</x:v>
      </x:c>
      <x:c r="I12" t="s">
        <x:v>661</x:v>
      </x:c>
      <x:c r="J12" s="2">
        <x:v>46139</x:v>
      </x:c>
    </x:row>
    <x:row r="13">
      <x:c r="A13" t="s">
        <x:v>662</x:v>
      </x:c>
      <x:c r="B13" t="s">
        <x:v>302</x:v>
      </x:c>
      <x:c r="C13" s="2">
        <x:v>46240</x:v>
      </x:c>
      <x:c r="D13" t="s">
        <x:v>652</x:v>
      </x:c>
      <x:c r="E13" t="s">
        <x:v>50</x:v>
      </x:c>
      <x:c r="F13" t="s">
        <x:v>663</x:v>
      </x:c>
      <x:c r="G13" t="s">
        <x:v>664</x:v>
      </x:c>
      <x:c r="H13" t="s">
        <x:v>655</x:v>
      </x:c>
      <x:c r="I13" t="s">
        <x:v>624</x:v>
      </x:c>
      <x:c r="J13" s="2">
        <x:v>46241</x:v>
      </x:c>
    </x:row>
    <x:row r="14">
      <x:c r="A14" t="s">
        <x:v>665</x:v>
      </x:c>
      <x:c r="B14" t="s">
        <x:v>309</x:v>
      </x:c>
      <x:c r="C14" s="2">
        <x:v>46063</x:v>
      </x:c>
      <x:c r="D14" t="s">
        <x:v>666</x:v>
      </x:c>
      <x:c r="E14" t="s">
        <x:v>41</x:v>
      </x:c>
      <x:c r="F14" t="s">
        <x:v>667</x:v>
      </x:c>
      <x:c r="G14" t="s">
        <x:v>668</x:v>
      </x:c>
      <x:c r="H14" t="s">
        <x:v>660</x:v>
      </x:c>
      <x:c r="I14" t="s">
        <x:v>661</x:v>
      </x:c>
      <x:c r="J14" s="2">
        <x:v>46065</x:v>
      </x:c>
    </x:row>
    <x:row r="15">
      <x:c r="A15" t="s">
        <x:v>669</x:v>
      </x:c>
      <x:c r="B15" t="s">
        <x:v>309</x:v>
      </x:c>
      <x:c r="C15" s="2">
        <x:v>46222</x:v>
      </x:c>
      <x:c r="D15" t="s">
        <x:v>652</x:v>
      </x:c>
      <x:c r="E15" t="s">
        <x:v>50</x:v>
      </x:c>
      <x:c r="F15" t="s">
        <x:v>670</x:v>
      </x:c>
      <x:c r="G15" t="s">
        <x:v>671</x:v>
      </x:c>
      <x:c r="H15" t="s">
        <x:v>655</x:v>
      </x:c>
      <x:c r="I15" t="s">
        <x:v>624</x:v>
      </x:c>
      <x:c r="J15" s="2">
        <x:v>46223</x:v>
      </x:c>
    </x:row>
    <x:row r="16">
      <x:c r="A16" t="s">
        <x:v>672</x:v>
      </x:c>
      <x:c r="B16" t="s">
        <x:v>325</x:v>
      </x:c>
      <x:c r="C16" s="2">
        <x:v>46144</x:v>
      </x:c>
      <x:c r="D16" t="s">
        <x:v>623</x:v>
      </x:c>
      <x:c r="E16" t="s">
        <x:v>50</x:v>
      </x:c>
      <x:c r="F16" t="s">
        <x:v>673</x:v>
      </x:c>
      <x:c r="G16" t="s">
        <x:v>674</x:v>
      </x:c>
      <x:c r="H16" t="s">
        <x:v>623</x:v>
      </x:c>
      <x:c r="I16" t="s">
        <x:v>624</x:v>
      </x:c>
      <x:c r="J16" s="2">
        <x:v>46163</x:v>
      </x:c>
    </x:row>
    <x:row r="17">
      <x:c r="A17" t="s">
        <x:v>675</x:v>
      </x:c>
      <x:c r="B17" t="s">
        <x:v>333</x:v>
      </x:c>
      <x:c r="C17" s="2">
        <x:v>46110</x:v>
      </x:c>
      <x:c r="D17" t="s">
        <x:v>676</x:v>
      </x:c>
      <x:c r="E17" t="s">
        <x:v>50</x:v>
      </x:c>
      <x:c r="F17" t="s">
        <x:v>677</x:v>
      </x:c>
      <x:c r="G17" t="s">
        <x:v>678</x:v>
      </x:c>
      <x:c r="H17" t="s">
        <x:v>639</x:v>
      </x:c>
      <x:c r="I17" t="s">
        <x:v>624</x:v>
      </x:c>
      <x:c r="J17" s="2">
        <x:v>46117</x:v>
      </x:c>
    </x:row>
    <x:row r="18">
      <x:c r="A18" t="s">
        <x:v>679</x:v>
      </x:c>
      <x:c r="B18" t="s">
        <x:v>340</x:v>
      </x:c>
      <x:c r="C18" s="2">
        <x:v>46187</x:v>
      </x:c>
      <x:c r="D18" t="s">
        <x:v>652</x:v>
      </x:c>
      <x:c r="E18" t="s">
        <x:v>66</x:v>
      </x:c>
      <x:c r="F18" t="s">
        <x:v>680</x:v>
      </x:c>
      <x:c r="G18" t="s">
        <x:v>681</x:v>
      </x:c>
      <x:c r="H18" t="s">
        <x:v>682</x:v>
      </x:c>
      <x:c r="I18" t="s">
        <x:v>624</x:v>
      </x:c>
      <x:c r="J18" s="2">
        <x:v>46188</x:v>
      </x:c>
    </x:row>
    <x:row r="19">
      <x:c r="A19" t="s">
        <x:v>683</x:v>
      </x:c>
      <x:c r="B19" t="s">
        <x:v>347</x:v>
      </x:c>
      <x:c r="C19" s="2">
        <x:v>46121</x:v>
      </x:c>
      <x:c r="D19" t="s">
        <x:v>620</x:v>
      </x:c>
      <x:c r="E19" t="s">
        <x:v>41</x:v>
      </x:c>
      <x:c r="F19" t="s">
        <x:v>684</x:v>
      </x:c>
      <x:c r="G19" t="s">
        <x:v>685</x:v>
      </x:c>
      <x:c r="H19" t="s">
        <x:v>686</x:v>
      </x:c>
      <x:c r="I19" t="s">
        <x:v>624</x:v>
      </x:c>
      <x:c r="J19" s="2">
        <x:v>46130</x:v>
      </x:c>
    </x:row>
    <x:row r="20">
      <x:c r="A20" t="s">
        <x:v>687</x:v>
      </x:c>
      <x:c r="B20" t="s">
        <x:v>370</x:v>
      </x:c>
      <x:c r="C20" s="2">
        <x:v>46101</x:v>
      </x:c>
      <x:c r="D20" t="s">
        <x:v>652</x:v>
      </x:c>
      <x:c r="E20" t="s">
        <x:v>50</x:v>
      </x:c>
      <x:c r="F20" t="s">
        <x:v>688</x:v>
      </x:c>
      <x:c r="G20" t="s">
        <x:v>689</x:v>
      </x:c>
      <x:c r="H20" t="s">
        <x:v>655</x:v>
      </x:c>
      <x:c r="I20" t="s">
        <x:v>624</x:v>
      </x:c>
      <x:c r="J20" s="2">
        <x:v>46103</x:v>
      </x:c>
    </x:row>
    <x:row r="21">
      <x:c r="A21" t="s">
        <x:v>690</x:v>
      </x:c>
      <x:c r="B21" t="s">
        <x:v>384</x:v>
      </x:c>
      <x:c r="C21" s="2">
        <x:v>46060</x:v>
      </x:c>
      <x:c r="D21" t="s">
        <x:v>691</x:v>
      </x:c>
      <x:c r="E21" t="s">
        <x:v>50</x:v>
      </x:c>
      <x:c r="F21" t="s">
        <x:v>692</x:v>
      </x:c>
      <x:c r="G21" t="s">
        <x:v>693</x:v>
      </x:c>
      <x:c r="H21" t="s">
        <x:v>694</x:v>
      </x:c>
      <x:c r="I21" t="s">
        <x:v>618</x:v>
      </x:c>
      <x:c r="J21" s="2"/>
    </x:row>
    <x:row r="22">
      <x:c r="A22" t="s">
        <x:v>695</x:v>
      </x:c>
      <x:c r="B22" t="s">
        <x:v>391</x:v>
      </x:c>
      <x:c r="C22" s="2">
        <x:v>46191</x:v>
      </x:c>
      <x:c r="D22" t="s">
        <x:v>691</x:v>
      </x:c>
      <x:c r="E22" t="s">
        <x:v>50</x:v>
      </x:c>
      <x:c r="F22" t="s">
        <x:v>696</x:v>
      </x:c>
      <x:c r="G22" t="s">
        <x:v>697</x:v>
      </x:c>
      <x:c r="H22" t="s">
        <x:v>698</x:v>
      </x:c>
      <x:c r="I22" t="s">
        <x:v>699</x:v>
      </x:c>
      <x:c r="J22" s="2"/>
    </x:row>
    <x:row r="23">
      <x:c r="A23" t="s">
        <x:v>700</x:v>
      </x:c>
      <x:c r="B23" t="s">
        <x:v>398</x:v>
      </x:c>
      <x:c r="C23" s="2">
        <x:v>46146</x:v>
      </x:c>
      <x:c r="D23" t="s">
        <x:v>701</x:v>
      </x:c>
      <x:c r="E23" t="s">
        <x:v>41</x:v>
      </x:c>
      <x:c r="F23" t="s">
        <x:v>702</x:v>
      </x:c>
      <x:c r="G23" t="s">
        <x:v>703</x:v>
      </x:c>
      <x:c r="H23" t="s">
        <x:v>647</x:v>
      </x:c>
      <x:c r="I23" t="s">
        <x:v>624</x:v>
      </x:c>
      <x:c r="J23" s="2">
        <x:v>46147</x:v>
      </x:c>
    </x:row>
    <x:row r="24">
      <x:c r="A24" t="s">
        <x:v>704</x:v>
      </x:c>
      <x:c r="B24" t="s">
        <x:v>405</x:v>
      </x:c>
      <x:c r="C24" s="2">
        <x:v>46112</x:v>
      </x:c>
      <x:c r="D24" t="s">
        <x:v>705</x:v>
      </x:c>
      <x:c r="E24" t="s">
        <x:v>41</x:v>
      </x:c>
      <x:c r="F24" t="s">
        <x:v>706</x:v>
      </x:c>
      <x:c r="G24" t="s">
        <x:v>707</x:v>
      </x:c>
      <x:c r="H24" t="s">
        <x:v>655</x:v>
      </x:c>
      <x:c r="I24" t="s">
        <x:v>624</x:v>
      </x:c>
      <x:c r="J24" s="2">
        <x:v>46113</x:v>
      </x:c>
    </x:row>
    <x:row r="25">
      <x:c r="A25" t="s">
        <x:v>708</x:v>
      </x:c>
      <x:c r="B25" t="s">
        <x:v>412</x:v>
      </x:c>
      <x:c r="C25" s="2">
        <x:v>46205</x:v>
      </x:c>
      <x:c r="D25" t="s">
        <x:v>620</x:v>
      </x:c>
      <x:c r="E25" t="s">
        <x:v>50</x:v>
      </x:c>
      <x:c r="F25" t="s">
        <x:v>709</x:v>
      </x:c>
      <x:c r="G25" t="s">
        <x:v>710</x:v>
      </x:c>
      <x:c r="H25" t="s">
        <x:v>711</x:v>
      </x:c>
      <x:c r="I25" t="s">
        <x:v>624</x:v>
      </x:c>
      <x:c r="J25" s="2">
        <x:v>46212</x:v>
      </x:c>
    </x:row>
    <x:row r="26">
      <x:c r="A26" t="s">
        <x:v>712</x:v>
      </x:c>
      <x:c r="B26" t="s">
        <x:v>419</x:v>
      </x:c>
      <x:c r="C26" s="2">
        <x:v>46047</x:v>
      </x:c>
      <x:c r="D26" t="s">
        <x:v>713</x:v>
      </x:c>
      <x:c r="E26" t="s">
        <x:v>41</x:v>
      </x:c>
      <x:c r="F26" t="s">
        <x:v>714</x:v>
      </x:c>
      <x:c r="G26" t="s">
        <x:v>715</x:v>
      </x:c>
      <x:c r="H26" t="s">
        <x:v>716</x:v>
      </x:c>
      <x:c r="I26" t="s">
        <x:v>624</x:v>
      </x:c>
      <x:c r="J26" s="2">
        <x:v>46050</x:v>
      </x:c>
    </x:row>
    <x:row r="27">
      <x:c r="A27" t="s">
        <x:v>717</x:v>
      </x:c>
      <x:c r="B27" t="s">
        <x:v>433</x:v>
      </x:c>
      <x:c r="C27" s="2">
        <x:v>46179</x:v>
      </x:c>
      <x:c r="D27" t="s">
        <x:v>713</x:v>
      </x:c>
      <x:c r="E27" t="s">
        <x:v>41</x:v>
      </x:c>
      <x:c r="F27" t="s">
        <x:v>718</x:v>
      </x:c>
      <x:c r="G27" t="s">
        <x:v>719</x:v>
      </x:c>
      <x:c r="H27" t="s">
        <x:v>623</x:v>
      </x:c>
      <x:c r="I27" t="s">
        <x:v>618</x:v>
      </x:c>
      <x:c r="J27" s="2"/>
    </x:row>
    <x:row r="28">
      <x:c r="A28" t="s">
        <x:v>720</x:v>
      </x:c>
      <x:c r="B28" t="s">
        <x:v>455</x:v>
      </x:c>
      <x:c r="C28" s="2">
        <x:v>46236</x:v>
      </x:c>
      <x:c r="D28" t="s">
        <x:v>652</x:v>
      </x:c>
      <x:c r="E28" t="s">
        <x:v>41</x:v>
      </x:c>
      <x:c r="F28" t="s">
        <x:v>721</x:v>
      </x:c>
      <x:c r="G28" t="s">
        <x:v>722</x:v>
      </x:c>
      <x:c r="H28" t="s">
        <x:v>655</x:v>
      </x:c>
      <x:c r="I28" t="s">
        <x:v>624</x:v>
      </x:c>
      <x:c r="J28" s="2">
        <x:v>46237</x:v>
      </x:c>
    </x:row>
    <x:row r="29">
      <x:c r="A29" t="s">
        <x:v>723</x:v>
      </x:c>
      <x:c r="B29" t="s">
        <x:v>476</x:v>
      </x:c>
      <x:c r="C29" s="2">
        <x:v>46069</x:v>
      </x:c>
      <x:c r="D29" t="s">
        <x:v>614</x:v>
      </x:c>
      <x:c r="E29" t="s">
        <x:v>41</x:v>
      </x:c>
      <x:c r="F29" t="s">
        <x:v>724</x:v>
      </x:c>
      <x:c r="G29" t="s">
        <x:v>725</x:v>
      </x:c>
      <x:c r="H29" t="s">
        <x:v>726</x:v>
      </x:c>
      <x:c r="I29" t="s">
        <x:v>618</x:v>
      </x:c>
      <x:c r="J29" s="2"/>
    </x:row>
    <x:row r="30">
      <x:c r="A30" t="s">
        <x:v>727</x:v>
      </x:c>
      <x:c r="B30" t="s">
        <x:v>476</x:v>
      </x:c>
      <x:c r="C30" s="2">
        <x:v>46210</x:v>
      </x:c>
      <x:c r="D30" t="s">
        <x:v>620</x:v>
      </x:c>
      <x:c r="E30" t="s">
        <x:v>41</x:v>
      </x:c>
      <x:c r="F30" t="s">
        <x:v>728</x:v>
      </x:c>
      <x:c r="G30" t="s">
        <x:v>729</x:v>
      </x:c>
      <x:c r="H30" t="s">
        <x:v>647</x:v>
      </x:c>
      <x:c r="I30" t="s">
        <x:v>624</x:v>
      </x:c>
      <x:c r="J30" s="2">
        <x:v>46214</x:v>
      </x:c>
    </x:row>
    <x:row r="31">
      <x:c r="A31" t="s">
        <x:v>730</x:v>
      </x:c>
      <x:c r="B31" t="s">
        <x:v>483</x:v>
      </x:c>
      <x:c r="C31" s="2">
        <x:v>46160</x:v>
      </x:c>
      <x:c r="D31" t="s">
        <x:v>657</x:v>
      </x:c>
      <x:c r="E31" t="s">
        <x:v>41</x:v>
      </x:c>
      <x:c r="F31" t="s">
        <x:v>731</x:v>
      </x:c>
      <x:c r="G31" t="s">
        <x:v>732</x:v>
      </x:c>
      <x:c r="H31" t="s">
        <x:v>733</x:v>
      </x:c>
      <x:c r="I31" t="s">
        <x:v>661</x:v>
      </x:c>
      <x:c r="J31" s="2">
        <x:v>46161</x:v>
      </x:c>
    </x:row>
    <x:row r="32">
      <x:c r="A32" t="s">
        <x:v>734</x:v>
      </x:c>
      <x:c r="B32" t="s">
        <x:v>498</x:v>
      </x:c>
      <x:c r="C32" s="2">
        <x:v>46123</x:v>
      </x:c>
      <x:c r="D32" t="s">
        <x:v>735</x:v>
      </x:c>
      <x:c r="E32" t="s">
        <x:v>41</x:v>
      </x:c>
      <x:c r="F32" t="s">
        <x:v>736</x:v>
      </x:c>
      <x:c r="G32" t="s">
        <x:v>737</x:v>
      </x:c>
      <x:c r="H32" t="s">
        <x:v>738</x:v>
      </x:c>
      <x:c r="I32" t="s">
        <x:v>624</x:v>
      </x:c>
      <x:c r="J32" s="2">
        <x:v>46125</x:v>
      </x:c>
    </x:row>
    <x:row r="33">
      <x:c r="A33" t="s">
        <x:v>739</x:v>
      </x:c>
      <x:c r="B33" t="s">
        <x:v>506</x:v>
      </x:c>
      <x:c r="C33" s="2">
        <x:v>46041</x:v>
      </x:c>
      <x:c r="D33" t="s">
        <x:v>713</x:v>
      </x:c>
      <x:c r="E33" t="s">
        <x:v>41</x:v>
      </x:c>
      <x:c r="F33" t="s">
        <x:v>740</x:v>
      </x:c>
      <x:c r="G33" t="s">
        <x:v>741</x:v>
      </x:c>
      <x:c r="H33" t="s">
        <x:v>742</x:v>
      </x:c>
      <x:c r="I33" t="s">
        <x:v>624</x:v>
      </x:c>
      <x:c r="J33" s="2">
        <x:v>46042</x:v>
      </x:c>
    </x:row>
    <x:row r="34">
      <x:c r="A34" t="s">
        <x:v>743</x:v>
      </x:c>
      <x:c r="B34" t="s">
        <x:v>513</x:v>
      </x:c>
      <x:c r="C34" s="2">
        <x:v>46198</x:v>
      </x:c>
      <x:c r="D34" t="s">
        <x:v>744</x:v>
      </x:c>
      <x:c r="E34" t="s">
        <x:v>50</x:v>
      </x:c>
      <x:c r="F34" t="s">
        <x:v>745</x:v>
      </x:c>
      <x:c r="G34" t="s">
        <x:v>746</x:v>
      </x:c>
      <x:c r="H34" t="s">
        <x:v>716</x:v>
      </x:c>
      <x:c r="I34" t="s">
        <x:v>624</x:v>
      </x:c>
      <x:c r="J34" s="2">
        <x:v>46199</x:v>
      </x:c>
    </x:row>
    <x:row r="35">
      <x:c r="A35" t="s">
        <x:v>747</x:v>
      </x:c>
      <x:c r="B35" t="s">
        <x:v>527</x:v>
      </x:c>
      <x:c r="C35" s="2">
        <x:v>46118</x:v>
      </x:c>
      <x:c r="D35" t="s">
        <x:v>620</x:v>
      </x:c>
      <x:c r="E35" t="s">
        <x:v>50</x:v>
      </x:c>
      <x:c r="F35" t="s">
        <x:v>748</x:v>
      </x:c>
      <x:c r="G35" t="s">
        <x:v>749</x:v>
      </x:c>
      <x:c r="H35" t="s">
        <x:v>750</x:v>
      </x:c>
      <x:c r="I35" t="s">
        <x:v>624</x:v>
      </x:c>
      <x:c r="J35" s="2">
        <x:v>46127</x:v>
      </x:c>
    </x:row>
    <x:row r="36">
      <x:c r="A36" t="s">
        <x:v>751</x:v>
      </x:c>
      <x:c r="B36" t="s">
        <x:v>541</x:v>
      </x:c>
      <x:c r="C36" s="2">
        <x:v>46096</x:v>
      </x:c>
      <x:c r="D36" t="s">
        <x:v>691</x:v>
      </x:c>
      <x:c r="E36" t="s">
        <x:v>50</x:v>
      </x:c>
      <x:c r="F36" t="s">
        <x:v>752</x:v>
      </x:c>
      <x:c r="G36" t="s">
        <x:v>753</x:v>
      </x:c>
      <x:c r="H36" t="s">
        <x:v>694</x:v>
      </x:c>
      <x:c r="I36" t="s">
        <x:v>699</x:v>
      </x:c>
      <x:c r="J36" s="2"/>
    </x:row>
    <x:row r="37">
      <x:c r="A37" t="s">
        <x:v>754</x:v>
      </x:c>
      <x:c r="B37" t="s">
        <x:v>562</x:v>
      </x:c>
      <x:c r="C37" s="2">
        <x:v>46229</x:v>
      </x:c>
      <x:c r="D37" t="s">
        <x:v>652</x:v>
      </x:c>
      <x:c r="E37" t="s">
        <x:v>41</x:v>
      </x:c>
      <x:c r="F37" t="s">
        <x:v>755</x:v>
      </x:c>
      <x:c r="G37" t="s">
        <x:v>756</x:v>
      </x:c>
      <x:c r="H37" t="s">
        <x:v>655</x:v>
      </x:c>
      <x:c r="I37" t="s">
        <x:v>624</x:v>
      </x:c>
      <x:c r="J37" s="2">
        <x:v>46230</x:v>
      </x:c>
    </x:row>
    <x:row r="38">
      <x:c r="A38" t="s">
        <x:v>757</x:v>
      </x:c>
      <x:c r="B38" t="s">
        <x:v>569</x:v>
      </x:c>
      <x:c r="C38" s="2">
        <x:v>46080</x:v>
      </x:c>
      <x:c r="D38" t="s">
        <x:v>691</x:v>
      </x:c>
      <x:c r="E38" t="s">
        <x:v>41</x:v>
      </x:c>
      <x:c r="F38" t="s">
        <x:v>758</x:v>
      </x:c>
      <x:c r="G38" t="s">
        <x:v>759</x:v>
      </x:c>
      <x:c r="H38" t="s">
        <x:v>726</x:v>
      </x:c>
      <x:c r="I38" t="s">
        <x:v>618</x:v>
      </x:c>
      <x:c r="J38" s="2"/>
    </x:row>
    <x:row r="39">
      <x:c r="A39" t="s">
        <x:v>760</x:v>
      </x:c>
      <x:c r="B39" t="s">
        <x:v>583</x:v>
      </x:c>
      <x:c r="C39" s="2">
        <x:v>46165</x:v>
      </x:c>
      <x:c r="D39" t="s">
        <x:v>761</x:v>
      </x:c>
      <x:c r="E39" t="s">
        <x:v>41</x:v>
      </x:c>
      <x:c r="F39" t="s">
        <x:v>762</x:v>
      </x:c>
      <x:c r="G39" t="s">
        <x:v>763</x:v>
      </x:c>
      <x:c r="H39" t="s">
        <x:v>764</x:v>
      </x:c>
      <x:c r="I39" t="s">
        <x:v>624</x:v>
      </x:c>
      <x:c r="J39" s="2">
        <x:v>46165</x:v>
      </x:c>
    </x:row>
    <x:row r="40">
      <x:c r="A40" t="s">
        <x:v>765</x:v>
      </x:c>
      <x:c r="B40" t="s">
        <x:v>591</x:v>
      </x:c>
      <x:c r="C40" s="2">
        <x:v>46242</x:v>
      </x:c>
      <x:c r="D40" t="s">
        <x:v>676</x:v>
      </x:c>
      <x:c r="E40" t="s">
        <x:v>50</x:v>
      </x:c>
      <x:c r="F40" t="s">
        <x:v>766</x:v>
      </x:c>
      <x:c r="G40" t="s">
        <x:v>767</x:v>
      </x:c>
      <x:c r="H40" t="s">
        <x:v>643</x:v>
      </x:c>
      <x:c r="I40" t="s">
        <x:v>699</x:v>
      </x:c>
      <x:c r="J40" s="2"/>
    </x:row>
    <x:row r="41">
      <x:c r="A41" t="s">
        <x:v>768</x:v>
      </x:c>
      <x:c r="B41" t="s">
        <x:v>598</x:v>
      </x:c>
      <x:c r="C41" s="2">
        <x:v>46203</x:v>
      </x:c>
      <x:c r="D41" t="s">
        <x:v>652</x:v>
      </x:c>
      <x:c r="E41" t="s">
        <x:v>41</x:v>
      </x:c>
      <x:c r="F41" t="s">
        <x:v>769</x:v>
      </x:c>
      <x:c r="G41" t="s">
        <x:v>770</x:v>
      </x:c>
      <x:c r="H41" t="s">
        <x:v>655</x:v>
      </x:c>
      <x:c r="I41" t="s">
        <x:v>624</x:v>
      </x:c>
      <x:c r="J41" s="2">
        <x:v>46203</x:v>
      </x:c>
    </x:row>
  </x:sheetData>
  <x:pageMargins left="0.7" right="0.7" top="0.75" bottom="0.75" header="0.3" footer="0.3"/>
  <x:tableParts count="1">
    <x:tablePart xmlns:r="http://schemas.openxmlformats.org/officeDocument/2006/relationships" r:id="R42c210c493234142"/>
  </x:tableParts>
</x:worksheet>
</file>

<file path=xl/worksheets/sheet6.xml><?xml version="1.0" encoding="utf-8"?>
<x:worksheet xmlns:x="http://schemas.openxmlformats.org/spreadsheetml/2006/main">
  <x:sheetFormatPr defaultColWidth="36.5546875" defaultRowHeight="14.399999618530273"/>
  <x:sheetData>
    <x:row r="1">
      <x:c r="A1" t="s">
        <x:v>771</x:v>
      </x:c>
      <x:c r="B1" t="s">
        <x:v>22</x:v>
      </x:c>
      <x:c r="C1" t="s">
        <x:v>23</x:v>
      </x:c>
      <x:c r="D1" t="s">
        <x:v>772</x:v>
      </x:c>
      <x:c r="E1" t="s">
        <x:v>773</x:v>
      </x:c>
      <x:c r="F1" t="s">
        <x:v>774</x:v>
      </x:c>
      <x:c r="G1" t="s">
        <x:v>775</x:v>
      </x:c>
      <x:c r="H1" t="s">
        <x:v>776</x:v>
      </x:c>
      <x:c r="I1" t="s">
        <x:v>777</x:v>
      </x:c>
      <x:c r="J1" t="s">
        <x:v>611</x:v>
      </x:c>
      <x:c r="K1" t="str">
        <x:v>Dependency</x:v>
      </x:c>
      <x:c r="L1" t="s">
        <x:v>778</x:v>
      </x:c>
    </x:row>
    <x:row r="2">
      <x:c r="A2" t="str">
        <x:v>REM001</x:v>
      </x:c>
      <x:c r="B2" t="str">
        <x:v>AI033</x:v>
      </x:c>
      <x:c r="C2" t="str">
        <x:v>Customer Credit Risk Model</x:v>
      </x:c>
      <x:c r="D2" t="str">
        <x:v>Incomplete fairness testing</x:v>
      </x:c>
      <x:c r="E2" t="str">
        <x:v>Implement quarterly fairness testing across customer groups and document outcome disparities</x:v>
      </x:c>
      <x:c r="F2" t="str">
        <x:v>Critical</x:v>
      </x:c>
      <x:c r="G2" t="str">
        <x:v>Credit Manager</x:v>
      </x:c>
      <x:c r="H2" s="14" t="n">
        <x:v>46296</x:v>
      </x:c>
      <x:c r="I2" s="14" t="n">
        <x:v>46341</x:v>
      </x:c>
      <x:c r="J2" t="str">
        <x:v>Planned</x:v>
      </x:c>
      <x:c r="K2" t="str">
        <x:v>Compliance and Legal Review</x:v>
      </x:c>
      <x:c r="L2" t="str">
        <x:v>Quarterly fairness assessment completed with documented results</x:v>
      </x:c>
    </x:row>
    <x:row r="3">
      <x:c r="A3" t="str">
        <x:v>REM002</x:v>
      </x:c>
      <x:c r="B3" t="str">
        <x:v>AI033</x:v>
      </x:c>
      <x:c r="C3" t="str">
        <x:v>Customer Credit Risk Model</x:v>
      </x:c>
      <x:c r="D3" t="str">
        <x:v>Missing decision transparency</x:v>
      </x:c>
      <x:c r="E3" t="str">
        <x:v>Implement documented reason codes for adverse credit recommendations</x:v>
      </x:c>
      <x:c r="F3" t="str">
        <x:v>Critical</x:v>
      </x:c>
      <x:c r="G3" t="str">
        <x:v>Credit Manager</x:v>
      </x:c>
      <x:c r="H3" s="14" t="n">
        <x:v>46310</x:v>
      </x:c>
      <x:c r="I3" s="14" t="n">
        <x:v>46371</x:v>
      </x:c>
      <x:c r="J3" t="str">
        <x:v>Planned</x:v>
      </x:c>
      <x:c r="K3" t="str">
        <x:v>Model documentation and IT support</x:v>
      </x:c>
      <x:c r="L3" t="str">
        <x:v>100% of adverse recommendations include documented reason codes</x:v>
      </x:c>
    </x:row>
    <x:row r="4">
      <x:c r="A4" t="str">
        <x:v>REM003</x:v>
      </x:c>
      <x:c r="B4" t="str">
        <x:v>AI001</x:v>
      </x:c>
      <x:c r="C4" t="str">
        <x:v>Resume Screening Assistant</x:v>
      </x:c>
      <x:c r="D4" t="str">
        <x:v>Incomplete fairness monitoring</x:v>
      </x:c>
      <x:c r="E4" t="str">
        <x:v>Implement quarterly selection-rate and bias testing across candidate groups</x:v>
      </x:c>
      <x:c r="F4" t="str">
        <x:v>Critical</x:v>
      </x:c>
      <x:c r="G4" t="str">
        <x:v>People Analytics Manager</x:v>
      </x:c>
      <x:c r="H4" s="14" t="n">
        <x:v>46296</x:v>
      </x:c>
      <x:c r="I4" s="14" t="n">
        <x:v>46356</x:v>
      </x:c>
      <x:c r="J4" t="str">
        <x:v>Planned</x:v>
      </x:c>
      <x:c r="K4" t="str">
        <x:v>HR Legal Review</x:v>
      </x:c>
      <x:c r="L4" t="str">
        <x:v>Quarterly fairness testing completed and exceptions investigated</x:v>
      </x:c>
    </x:row>
    <x:row r="5">
      <x:c r="A5" t="str">
        <x:v>REM004</x:v>
      </x:c>
      <x:c r="B5" t="str">
        <x:v>AI001</x:v>
      </x:c>
      <x:c r="C5" t="str">
        <x:v>Resume Screening Assistant</x:v>
      </x:c>
      <x:c r="D5" t="str">
        <x:v>Missing candidate recommendation explanations</x:v>
      </x:c>
      <x:c r="E5" t="str">
        <x:v>Develop documented explanations for AI-assisted candidate recommendations</x:v>
      </x:c>
      <x:c r="F5" t="str">
        <x:v>Critical</x:v>
      </x:c>
      <x:c r="G5" t="str">
        <x:v>Talent Acquisition Manager</x:v>
      </x:c>
      <x:c r="H5" s="14" t="n">
        <x:v>46310</x:v>
      </x:c>
      <x:c r="I5" s="14" t="n">
        <x:v>46371</x:v>
      </x:c>
      <x:c r="J5" t="str">
        <x:v>Planned</x:v>
      </x:c>
      <x:c r="K5" t="str">
        <x:v>Vendor documentation</x:v>
      </x:c>
      <x:c r="L5" t="str">
        <x:v>100% of AI recommendations available with reviewable explanation</x:v>
      </x:c>
    </x:row>
    <x:row r="6">
      <x:c r="A6" t="str">
        <x:v>REM005</x:v>
      </x:c>
      <x:c r="B6" t="str">
        <x:v>AI015</x:v>
      </x:c>
      <x:c r="C6" t="str">
        <x:v>Access Risk Analyzer</x:v>
      </x:c>
      <x:c r="D6" t="str">
        <x:v>Incomplete validation of access-risk scoring rules</x:v>
      </x:c>
      <x:c r="E6" t="str">
        <x:v>Complete quarterly validation of access-risk scoring rules and document threshold changes</x:v>
      </x:c>
      <x:c r="F6" t="str">
        <x:v>Critical</x:v>
      </x:c>
      <x:c r="G6" t="str">
        <x:v>Cybersecurity Governance Manager</x:v>
      </x:c>
      <x:c r="H6" s="14" t="n">
        <x:v>46310</x:v>
      </x:c>
      <x:c r="I6" s="14" t="n">
        <x:v>46357</x:v>
      </x:c>
      <x:c r="J6" t="str">
        <x:v>Planned</x:v>
      </x:c>
      <x:c r="K6" t="str">
        <x:v>Identity and Access data and analyst review</x:v>
      </x:c>
      <x:c r="L6" t="str">
        <x:v>Quarterly validation completed with approved scoring thresholds</x:v>
      </x:c>
    </x:row>
    <x:row r="7">
      <x:c r="A7" t="str">
        <x:v>REM006</x:v>
      </x:c>
      <x:c r="B7" t="str">
        <x:v>AI015</x:v>
      </x:c>
      <x:c r="C7" t="str">
        <x:v>Access Risk Analyzer</x:v>
      </x:c>
      <x:c r="D7" t="str">
        <x:v>False-positive access risk classifications</x:v>
      </x:c>
      <x:c r="E7" t="str">
        <x:v>Recalibrate risk thresholds and test model performance against historical privileged-access cases</x:v>
      </x:c>
      <x:c r="F7" t="str">
        <x:v>Critical</x:v>
      </x:c>
      <x:c r="G7" t="str">
        <x:v>Identity and Access Manager</x:v>
      </x:c>
      <x:c r="H7" s="14" t="n">
        <x:v>46327</x:v>
      </x:c>
      <x:c r="I7" s="14" t="n">
        <x:v>46402</x:v>
      </x:c>
      <x:c r="J7" t="str">
        <x:v>Planned</x:v>
      </x:c>
      <x:c r="K7" t="str">
        <x:v>Completed scoring-rule validation and historical test data</x:v>
      </x:c>
      <x:c r="L7" t="str">
        <x:v>False-positive rate reduced by at least 25% from baseline during validation</x:v>
      </x:c>
    </x:row>
    <x:row r="8">
      <x:c r="A8" t="str">
        <x:v>REM007</x:v>
      </x:c>
      <x:c r="B8" t="str">
        <x:v>AI010</x:v>
      </x:c>
      <x:c r="C8" t="str">
        <x:v>Internal Knowledge Assistant</x:v>
      </x:c>
      <x:c r="D8" t="str">
        <x:v>Insufficient hallucination monitoring</x:v>
      </x:c>
      <x:c r="E8" t="str">
        <x:v>Implement recurring review of generated responses and hallucination tracking</x:v>
      </x:c>
      <x:c r="F8" t="str">
        <x:v>Critical</x:v>
      </x:c>
      <x:c r="G8" t="str">
        <x:v>IT Applications Manager</x:v>
      </x:c>
      <x:c r="H8" s="14" t="n">
        <x:v>46296</x:v>
      </x:c>
      <x:c r="I8" s="14" t="n">
        <x:v>46341</x:v>
      </x:c>
      <x:c r="J8" t="str">
        <x:v>Planned</x:v>
      </x:c>
      <x:c r="K8" t="str">
        <x:v>Monitoring workflow and reviewer capacity</x:v>
      </x:c>
      <x:c r="L8" t="str">
        <x:v>Monthly hallucination rate reported and tracked</x:v>
      </x:c>
    </x:row>
    <x:row r="9">
      <x:c r="A9" t="str">
        <x:v>REM008</x:v>
      </x:c>
      <x:c r="B9" t="str">
        <x:v>AI010</x:v>
      </x:c>
      <x:c r="C9" t="str">
        <x:v>Internal Knowledge Assistant</x:v>
      </x:c>
      <x:c r="D9" t="str">
        <x:v>Restricted information exposure risk</x:v>
      </x:c>
      <x:c r="E9" t="str">
        <x:v>Strengthen role-based access controls and test permissions to restricted knowledge sources</x:v>
      </x:c>
      <x:c r="F9" t="str">
        <x:v>Critical</x:v>
      </x:c>
      <x:c r="G9" t="str">
        <x:v>Data Security Manager</x:v>
      </x:c>
      <x:c r="H9" s="14" t="n">
        <x:v>46296</x:v>
      </x:c>
      <x:c r="I9" s="14" t="n">
        <x:v>46357</x:v>
      </x:c>
      <x:c r="J9" t="str">
        <x:v>Planned</x:v>
      </x:c>
      <x:c r="K9" t="str">
        <x:v>Identity and Access Management support</x:v>
      </x:c>
      <x:c r="L9" t="str">
        <x:v>Zero unauthorized restricted-document access in validation testing</x:v>
      </x:c>
    </x:row>
    <x:row r="10">
      <x:c r="A10" t="str">
        <x:v>REM009</x:v>
      </x:c>
      <x:c r="B10" t="str">
        <x:v>AI046</x:v>
      </x:c>
      <x:c r="C10" t="str">
        <x:v>Employee Attrition Predictor</x:v>
      </x:c>
      <x:c r="D10" t="str">
        <x:v>Incomplete fairness testing</x:v>
      </x:c>
      <x:c r="E10" t="str">
        <x:v>Implement quarterly fairness analysis across employee groups before intervention decisions</x:v>
      </x:c>
      <x:c r="F10" t="str">
        <x:v>Critical</x:v>
      </x:c>
      <x:c r="G10" t="str">
        <x:v>People Analytics Manager</x:v>
      </x:c>
      <x:c r="H10" s="14" t="n">
        <x:v>46310</x:v>
      </x:c>
      <x:c r="I10" s="14" t="n">
        <x:v>46371</x:v>
      </x:c>
      <x:c r="J10" t="str">
        <x:v>Planned</x:v>
      </x:c>
      <x:c r="K10" t="str">
        <x:v>HR Legal and Privacy Review</x:v>
      </x:c>
      <x:c r="L10" t="str">
        <x:v>All material fairness disparities documented and reviewed</x:v>
      </x:c>
    </x:row>
    <x:row r="11">
      <x:c r="A11" t="str">
        <x:v>REM010</x:v>
      </x:c>
      <x:c r="B11" t="str">
        <x:v>AI046</x:v>
      </x:c>
      <x:c r="C11" t="str">
        <x:v>Employee Attrition Predictor</x:v>
      </x:c>
      <x:c r="D11" t="str">
        <x:v>Insufficient transparency</x:v>
      </x:c>
      <x:c r="E11" t="str">
        <x:v>Create model documentation explaining major factors influencing attrition-risk scores</x:v>
      </x:c>
      <x:c r="F11" t="str">
        <x:v>Critical</x:v>
      </x:c>
      <x:c r="G11" t="str">
        <x:v>People Analytics Manager</x:v>
      </x:c>
      <x:c r="H11" s="14" t="n">
        <x:v>46327</x:v>
      </x:c>
      <x:c r="I11" s="14" t="n">
        <x:v>46418</x:v>
      </x:c>
      <x:c r="J11" t="str">
        <x:v>Planned</x:v>
      </x:c>
      <x:c r="K11" t="str">
        <x:v>Data Science documentation</x:v>
      </x:c>
      <x:c r="L11" t="str">
        <x:v>100% of reviewed predictions supported by documented model factors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41.109375" defaultRowHeight="14.399999618530273"/>
  <x:cols>
    <x:col min="1" max="2" width="41.109375" style="4" customWidth="0"/>
  </x:cols>
  <x:sheetData>
    <x:row r="1">
      <x:c r="A1" s="4" t="s">
        <x:v>779</x:v>
      </x:c>
      <x:c r="B1" s="4" t="s">
        <x:v>780</x:v>
      </x:c>
    </x:row>
    <x:row r="2" ht="43.20000076293945">
      <x:c r="A2" s="4" t="s">
        <x:v>781</x:v>
      </x:c>
      <x:c r="B2" s="4" t="s">
        <x:v>782</x:v>
      </x:c>
    </x:row>
    <x:row r="3">
      <x:c r="A3" s="4" t="s">
        <x:v>783</x:v>
      </x:c>
      <x:c r="B3" s="4" t="s">
        <x:v>784</x:v>
      </x:c>
    </x:row>
    <x:row r="4">
      <x:c r="A4" s="4" t="s">
        <x:v>785</x:v>
      </x:c>
      <x:c r="B4" s="4" t="s">
        <x:v>786</x:v>
      </x:c>
    </x:row>
    <x:row r="5">
      <x:c r="A5" s="4" t="s">
        <x:v>787</x:v>
      </x:c>
      <x:c r="B5" s="4" t="s">
        <x:v>788</x:v>
      </x:c>
    </x:row>
    <x:row r="6">
      <x:c r="A6" s="4" t="s">
        <x:v>789</x:v>
      </x:c>
      <x:c r="B6" s="4" t="s">
        <x:v>790</x:v>
      </x:c>
    </x:row>
    <x:row r="7">
      <x:c r="A7" s="4" t="s">
        <x:v>791</x:v>
      </x:c>
      <x:c r="B7" s="4" t="s">
        <x:v>792</x:v>
      </x:c>
    </x:row>
    <x:row r="8" ht="28.799999237060547">
      <x:c r="A8" s="4" t="s">
        <x:v>793</x:v>
      </x:c>
      <x:c r="B8" s="4" t="str">
        <x:v>Remediation plan, fairness testing, access-risk model validation, security/access improvements, transparency documentation, monitoring improvements, control testing</x:v>
      </x:c>
    </x:row>
    <x:row r="9" ht="28.799999237060547">
      <x:c r="A9" s="4" t="str">
        <x:v>Success Metrics</x:v>
      </x:c>
      <x:c r="B9" s="4" t="str">
        <x:v>Increase control coverage toward 90%; eliminate missing priority-system controls; assign accountable owners; complete follow-up assessments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22.88671875" defaultRowHeight="14.399999618530273"/>
  <x:cols>
    <x:col min="3" max="3" width="22.88671875" style="4" customWidth="0"/>
    <x:col min="16" max="16" width="22.88671875" style="4" customWidth="0"/>
    <x:col min="17" max="22" width="22.88671875" style="5" customWidth="0"/>
  </x:cols>
  <x:sheetData>
    <x:row r="1">
      <x:c r="A1" t="s">
        <x:v>794</x:v>
      </x:c>
      <x:c r="B1" t="s">
        <x:v>795</x:v>
      </x:c>
      <x:c r="C1" s="4" t="s">
        <x:v>796</x:v>
      </x:c>
      <x:c r="D1" t="s">
        <x:v>797</x:v>
      </x:c>
      <x:c r="E1" t="s">
        <x:v>776</x:v>
      </x:c>
      <x:c r="F1" t="s">
        <x:v>798</x:v>
      </x:c>
      <x:c r="G1" t="str">
        <x:v>Dependency</x:v>
      </x:c>
      <x:c r="H1" t="s">
        <x:v>611</x:v>
      </x:c>
      <x:c r="I1" t="s">
        <x:v>799</x:v>
      </x:c>
      <x:c r="P1" s="4" t="s">
        <x:v>796</x:v>
      </x:c>
      <x:c r="Q1" s="16" t="n">
        <x:v>46296</x:v>
      </x:c>
      <x:c r="R1" s="16" t="n">
        <x:v>46327</x:v>
      </x:c>
      <x:c r="S1" s="16" t="n">
        <x:f t="shared" ref="S1:V1" si="0">EDATE(R1,1)</x:f>
        <x:v>46357</x:v>
      </x:c>
      <x:c r="T1" s="16" t="n">
        <x:f t="shared" si="0"/>
        <x:v>46388</x:v>
      </x:c>
      <x:c r="U1" s="16" t="n">
        <x:f t="shared" si="0"/>
        <x:v>46419</x:v>
      </x:c>
      <x:c r="V1" s="16" t="n">
        <x:f t="shared" si="0"/>
        <x:v>46447</x:v>
      </x:c>
    </x:row>
    <x:row r="2" ht="28.799999237060547">
      <x:c r="A2" t="s">
        <x:v>800</x:v>
      </x:c>
      <x:c r="B2" t="s">
        <x:v>801</x:v>
      </x:c>
      <x:c r="C2" s="4" t="s">
        <x:v>802</x:v>
      </x:c>
      <x:c r="D2" t="s">
        <x:v>790</x:v>
      </x:c>
      <x:c r="E2" s="14">
        <x:v>46296</x:v>
      </x:c>
      <x:c r="F2" s="14">
        <x:v>46302</x:v>
      </x:c>
      <x:c r="G2" t="s">
        <x:v>803</x:v>
      </x:c>
      <x:c r="H2" t="s">
        <x:v>804</x:v>
      </x:c>
      <x:c r="I2" t="n">
        <x:f t="shared" ref="I2:I12" si="1">F2-E2+1</x:f>
        <x:v>7</x:v>
      </x:c>
      <x:c r="P2" s="4" t="str">
        <x:f>C2</x:f>
        <x:v>Confirm top 5 priority AI systems</x:v>
      </x:c>
    </x:row>
    <x:row r="3" ht="43.20000076293945">
      <x:c r="A3" t="s">
        <x:v>805</x:v>
      </x:c>
      <x:c r="B3" t="s">
        <x:v>801</x:v>
      </x:c>
      <x:c r="C3" s="4" t="s">
        <x:v>806</x:v>
      </x:c>
      <x:c r="D3" t="s">
        <x:v>790</x:v>
      </x:c>
      <x:c r="E3" s="14">
        <x:v>46296</x:v>
      </x:c>
      <x:c r="F3" s="14">
        <x:v>46305</x:v>
      </x:c>
      <x:c r="G3" t="s">
        <x:v>800</x:v>
      </x:c>
      <x:c r="H3" t="s">
        <x:v>804</x:v>
      </x:c>
      <x:c r="I3" t="n">
        <x:f t="shared" si="1">F3-E3+1</x:f>
        <x:v>10</x:v>
      </x:c>
      <x:c r="P3" s="4" t="str">
        <x:f>C3</x:f>
        <x:v>Confirm remediation owners and responsibilities</x:v>
      </x:c>
    </x:row>
    <x:row r="4" ht="28.799999237060547">
      <x:c r="A4" t="s">
        <x:v>807</x:v>
      </x:c>
      <x:c r="B4" t="s">
        <x:v>801</x:v>
      </x:c>
      <x:c r="C4" s="4" t="s">
        <x:v>808</x:v>
      </x:c>
      <x:c r="D4" t="s">
        <x:v>790</x:v>
      </x:c>
      <x:c r="E4" s="14">
        <x:v>46300</x:v>
      </x:c>
      <x:c r="F4" s="14">
        <x:v>46310</x:v>
      </x:c>
      <x:c r="G4" t="s">
        <x:v>800</x:v>
      </x:c>
      <x:c r="H4" t="s">
        <x:v>804</x:v>
      </x:c>
      <x:c r="I4" t="n">
        <x:f t="shared" si="1">F4-E4+1</x:f>
        <x:v>11</x:v>
      </x:c>
      <x:c r="P4" s="4" t="str">
        <x:f>C4</x:f>
        <x:v>Review open incidents and control deficiencies</x:v>
      </x:c>
    </x:row>
    <x:row r="5" ht="43.20000076293945">
      <x:c r="A5" t="s">
        <x:v>809</x:v>
      </x:c>
      <x:c r="B5" t="s">
        <x:v>810</x:v>
      </x:c>
      <x:c r="C5" s="4" t="s">
        <x:v>811</x:v>
      </x:c>
      <x:c r="D5" t="s">
        <x:v>812</x:v>
      </x:c>
      <x:c r="E5" s="14">
        <x:v>46310</x:v>
      </x:c>
      <x:c r="F5" s="14">
        <x:v>46356</x:v>
      </x:c>
      <x:c r="G5" t="s">
        <x:v>807</x:v>
      </x:c>
      <x:c r="H5" t="s">
        <x:v>804</x:v>
      </x:c>
      <x:c r="I5" t="n">
        <x:f t="shared" si="1">F5-E5+1</x:f>
        <x:v>47</x:v>
      </x:c>
      <x:c r="P5" s="4" t="str">
        <x:f>C5</x:f>
        <x:v>Implement fairness testing for credit and employment AI systems</x:v>
      </x:c>
    </x:row>
    <x:row r="6" ht="43.20000076293945">
      <x:c r="A6" t="s">
        <x:v>813</x:v>
      </x:c>
      <x:c r="B6" t="s">
        <x:v>810</x:v>
      </x:c>
      <x:c r="C6" s="4" t="s">
        <x:v>814</x:v>
      </x:c>
      <x:c r="D6" t="s">
        <x:v>815</x:v>
      </x:c>
      <x:c r="E6" s="14">
        <x:v>46310</x:v>
      </x:c>
      <x:c r="F6" s="14">
        <x:v>46371</x:v>
      </x:c>
      <x:c r="G6" t="s">
        <x:v>807</x:v>
      </x:c>
      <x:c r="H6" t="s">
        <x:v>804</x:v>
      </x:c>
      <x:c r="I6" t="n">
        <x:f t="shared" si="1">F6-E6+1</x:f>
        <x:v>62</x:v>
      </x:c>
      <x:c r="P6" s="4" t="str">
        <x:f>C6</x:f>
        <x:v>Develop AI decision transparency documentation</x:v>
      </x:c>
    </x:row>
    <x:row r="7" ht="28.799999237060547">
      <x:c r="A7" t="s">
        <x:v>816</x:v>
      </x:c>
      <x:c r="B7" t="s">
        <x:v>810</x:v>
      </x:c>
      <x:c r="C7" s="4" t="str">
        <x:v>Validate access-risk scoring and reduce false positives</x:v>
      </x:c>
      <x:c r="D7" t="str">
        <x:v>Identity and Access / Cybersecurity</x:v>
      </x:c>
      <x:c r="E7" s="14" t="n">
        <x:v>46327</x:v>
      </x:c>
      <x:c r="F7" s="14" t="n">
        <x:v>46402</x:v>
      </x:c>
      <x:c r="G7" t="s">
        <x:v>807</x:v>
      </x:c>
      <x:c r="H7" t="s">
        <x:v>804</x:v>
      </x:c>
      <x:c r="I7" t="n">
        <x:f t="shared" si="1">F7-E7+1</x:f>
        <x:v>76</x:v>
      </x:c>
      <x:c r="P7" s="4" t="str">
        <x:f>C7</x:f>
        <x:v>Validate access-risk scoring and reduce false positives</x:v>
      </x:c>
    </x:row>
    <x:row r="8" ht="28.799999237060547">
      <x:c r="A8" t="s">
        <x:v>817</x:v>
      </x:c>
      <x:c r="B8" t="s">
        <x:v>810</x:v>
      </x:c>
      <x:c r="C8" s="4" t="s">
        <x:v>818</x:v>
      </x:c>
      <x:c r="D8" t="s">
        <x:v>90</x:v>
      </x:c>
      <x:c r="E8" s="14">
        <x:v>46310</x:v>
      </x:c>
      <x:c r="F8" s="14">
        <x:v>46371</x:v>
      </x:c>
      <x:c r="G8" t="s">
        <x:v>807</x:v>
      </x:c>
      <x:c r="H8" t="s">
        <x:v>804</x:v>
      </x:c>
      <x:c r="I8" t="n">
        <x:f t="shared" si="1">F8-E8+1</x:f>
        <x:v>62</x:v>
      </x:c>
      <x:c r="P8" s="4" t="str">
        <x:f>C8</x:f>
        <x:v>Implement generative AI hallucination monitoring</x:v>
      </x:c>
    </x:row>
    <x:row r="9" ht="28.799999237060547">
      <x:c r="A9" t="s">
        <x:v>819</x:v>
      </x:c>
      <x:c r="B9" t="s">
        <x:v>820</x:v>
      </x:c>
      <x:c r="C9" s="4" t="s">
        <x:v>821</x:v>
      </x:c>
      <x:c r="D9" t="s">
        <x:v>790</x:v>
      </x:c>
      <x:c r="E9" s="14">
        <x:v>46402</x:v>
      </x:c>
      <x:c r="F9" s="14">
        <x:v>46433</x:v>
      </x:c>
      <x:c r="G9" t="s">
        <x:v>822</x:v>
      </x:c>
      <x:c r="H9" t="s">
        <x:v>804</x:v>
      </x:c>
      <x:c r="I9" t="n">
        <x:f t="shared" si="1">F9-E9+1</x:f>
        <x:v>32</x:v>
      </x:c>
      <x:c r="P9" s="4" t="str">
        <x:f>C9</x:f>
        <x:v>Test remediated governance controls</x:v>
      </x:c>
    </x:row>
    <x:row r="10" ht="28.799999237060547">
      <x:c r="A10" t="s">
        <x:v>823</x:v>
      </x:c>
      <x:c r="B10" t="s">
        <x:v>820</x:v>
      </x:c>
      <x:c r="C10" s="4" t="s">
        <x:v>824</x:v>
      </x:c>
      <x:c r="D10" t="s">
        <x:v>790</x:v>
      </x:c>
      <x:c r="E10" s="14">
        <x:v>46419</x:v>
      </x:c>
      <x:c r="F10" s="14">
        <x:v>46446</x:v>
      </x:c>
      <x:c r="G10" t="s">
        <x:v>819</x:v>
      </x:c>
      <x:c r="H10" t="s">
        <x:v>804</x:v>
      </x:c>
      <x:c r="I10" t="n">
        <x:f t="shared" si="1">F10-E10+1</x:f>
        <x:v>28</x:v>
      </x:c>
      <x:c r="P10" s="4" t="str">
        <x:f>C10</x:f>
        <x:v>Perform follow-up AI risk assessments</x:v>
      </x:c>
    </x:row>
    <x:row r="11" ht="28.799999237060547">
      <x:c r="A11" t="s">
        <x:v>825</x:v>
      </x:c>
      <x:c r="B11" t="s">
        <x:v>826</x:v>
      </x:c>
      <x:c r="C11" s="4" t="s">
        <x:v>827</x:v>
      </x:c>
      <x:c r="D11" t="s">
        <x:v>790</x:v>
      </x:c>
      <x:c r="E11" s="14">
        <x:v>46447</x:v>
      </x:c>
      <x:c r="F11" s="14">
        <x:v>46461</x:v>
      </x:c>
      <x:c r="G11" t="s">
        <x:v>823</x:v>
      </x:c>
      <x:c r="H11" t="s">
        <x:v>804</x:v>
      </x:c>
      <x:c r="I11" t="n">
        <x:f t="shared" si="1">F11-E11+1</x:f>
        <x:v>15</x:v>
      </x:c>
      <x:c r="P11" s="4" t="str">
        <x:f>C11</x:f>
        <x:v>Prepare executive governance report</x:v>
      </x:c>
    </x:row>
    <x:row r="12" ht="28.799999237060547">
      <x:c r="A12" t="s">
        <x:v>828</x:v>
      </x:c>
      <x:c r="B12" t="s">
        <x:v>826</x:v>
      </x:c>
      <x:c r="C12" s="4" t="s">
        <x:v>829</x:v>
      </x:c>
      <x:c r="D12" t="s">
        <x:v>815</x:v>
      </x:c>
      <x:c r="E12" s="14">
        <x:v>46461</x:v>
      </x:c>
      <x:c r="F12" s="14">
        <x:v>46477</x:v>
      </x:c>
      <x:c r="G12" t="s">
        <x:v>825</x:v>
      </x:c>
      <x:c r="H12" t="s">
        <x:v>804</x:v>
      </x:c>
      <x:c r="I12" t="n">
        <x:f t="shared" si="1">F12-E12+1</x:f>
        <x:v>17</x:v>
      </x:c>
      <x:c r="P12" s="4" t="str">
        <x:f>C12</x:f>
        <x:v>Transition priority systems to recurring monitoring</x:v>
      </x:c>
    </x:row>
  </x:sheetData>
  <x:conditionalFormatting sqref="Q2:V12">
    <x:cfRule type="expression" dxfId="0" priority="1">
      <x:formula>AND(Q$1&lt;=$F2,EOMONTH(Q$1,0)&gt;=$E2)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95ec52ef764263"/>
  </x:tableParts>
</x:worksheet>
</file>

<file path=xl/worksheets/sheet9.xml><?xml version="1.0" encoding="utf-8"?>
<x:worksheet xmlns:x="http://schemas.openxmlformats.org/spreadsheetml/2006/main">
  <x:sheetFormatPr defaultColWidth="21.88671875" defaultRowHeight="14.399999618530273"/>
  <x:cols>
    <x:col min="2" max="2" width="21.88671875" style="4" customWidth="0"/>
  </x:cols>
  <x:sheetData>
    <x:row r="1">
      <x:c r="A1" t="s">
        <x:v>830</x:v>
      </x:c>
      <x:c r="B1" s="4" t="s">
        <x:v>831</x:v>
      </x:c>
      <x:c r="C1" t="s">
        <x:v>832</x:v>
      </x:c>
      <x:c r="D1" t="s">
        <x:v>833</x:v>
      </x:c>
      <x:c r="E1" t="s">
        <x:v>834</x:v>
      </x:c>
      <x:c r="F1" t="s">
        <x:v>797</x:v>
      </x:c>
      <x:c r="G1" t="s">
        <x:v>611</x:v>
      </x:c>
    </x:row>
    <x:row r="2" ht="28.799999237060547">
      <x:c r="A2" t="s">
        <x:v>835</x:v>
      </x:c>
      <x:c r="B2" s="4" t="s">
        <x:v>836</x:v>
      </x:c>
      <x:c r="C2" t="s">
        <x:v>50</x:v>
      </x:c>
      <x:c r="D2" t="s">
        <x:v>41</x:v>
      </x:c>
      <x:c r="E2" t="s">
        <x:v>837</x:v>
      </x:c>
      <x:c r="F2" t="s">
        <x:v>790</x:v>
      </x:c>
      <x:c r="G2" t="s">
        <x:v>699</x:v>
      </x:c>
    </x:row>
    <x:row r="3" ht="43.20000076293945">
      <x:c r="A3" t="s">
        <x:v>838</x:v>
      </x:c>
      <x:c r="B3" s="4" t="s">
        <x:v>839</x:v>
      </x:c>
      <x:c r="C3" t="s">
        <x:v>50</x:v>
      </x:c>
      <x:c r="D3" t="s">
        <x:v>41</x:v>
      </x:c>
      <x:c r="E3" t="s">
        <x:v>840</x:v>
      </x:c>
      <x:c r="F3" t="s">
        <x:v>789</x:v>
      </x:c>
      <x:c r="G3" t="s">
        <x:v>699</x:v>
      </x:c>
    </x:row>
    <x:row r="4" ht="43.20000076293945">
      <x:c r="A4" t="s">
        <x:v>841</x:v>
      </x:c>
      <x:c r="B4" s="4" t="s">
        <x:v>842</x:v>
      </x:c>
      <x:c r="C4" t="s">
        <x:v>41</x:v>
      </x:c>
      <x:c r="D4" t="s">
        <x:v>50</x:v>
      </x:c>
      <x:c r="E4" t="s">
        <x:v>843</x:v>
      </x:c>
      <x:c r="F4" t="s">
        <x:v>788</x:v>
      </x:c>
      <x:c r="G4" t="s">
        <x:v>699</x:v>
      </x:c>
    </x:row>
    <x:row r="5" ht="28.799999237060547">
      <x:c r="A5" t="s">
        <x:v>844</x:v>
      </x:c>
      <x:c r="B5" s="4" t="s">
        <x:v>845</x:v>
      </x:c>
      <x:c r="C5" t="s">
        <x:v>50</x:v>
      </x:c>
      <x:c r="D5" t="s">
        <x:v>41</x:v>
      </x:c>
      <x:c r="E5" t="s">
        <x:v>846</x:v>
      </x:c>
      <x:c r="F5" t="s">
        <x:v>847</x:v>
      </x:c>
      <x:c r="G5" t="s">
        <x:v>699</x:v>
      </x:c>
    </x:row>
    <x:row r="6" ht="43.20000076293945">
      <x:c r="A6" t="s">
        <x:v>848</x:v>
      </x:c>
      <x:c r="B6" s="4" t="s">
        <x:v>849</x:v>
      </x:c>
      <x:c r="C6" t="s">
        <x:v>50</x:v>
      </x:c>
      <x:c r="D6" t="s">
        <x:v>50</x:v>
      </x:c>
      <x:c r="E6" t="s">
        <x:v>850</x:v>
      </x:c>
      <x:c r="F6" t="s">
        <x:v>790</x:v>
      </x:c>
      <x:c r="G6" t="s">
        <x:v>699</x:v>
      </x:c>
    </x:row>
    <x:row r="7" ht="43.20000076293945">
      <x:c r="A7" t="s">
        <x:v>851</x:v>
      </x:c>
      <x:c r="B7" s="4" t="s">
        <x:v>852</x:v>
      </x:c>
      <x:c r="C7" t="s">
        <x:v>50</x:v>
      </x:c>
      <x:c r="D7" t="s">
        <x:v>41</x:v>
      </x:c>
      <x:c r="E7" t="s">
        <x:v>853</x:v>
      </x:c>
      <x:c r="F7" t="s">
        <x:v>789</x:v>
      </x:c>
      <x:c r="G7" t="s">
        <x:v>699</x:v>
      </x:c>
    </x:row>
  </x:sheetData>
  <x:pageMargins left="0.7" right="0.7" top="0.75" bottom="0.75" header="0.3" footer="0.3"/>
  <x:tableParts count="1">
    <x:tablePart xmlns:r="http://schemas.openxmlformats.org/officeDocument/2006/relationships" r:id="R0e30ffb913f14117"/>
  </x:tableParts>
</x:worksheet>
</file>

<file path=xl/worksheets/sheet10.xml><?xml version="1.0" encoding="utf-8"?>
<x:worksheet xmlns:x="http://schemas.openxmlformats.org/spreadsheetml/2006/main">
  <x:sheetFormatPr defaultColWidth="25.109375" defaultRowHeight="14.399999618530273"/>
  <x:sheetData>
    <x:row r="1">
      <x:c r="A1" t="s">
        <x:v>854</x:v>
      </x:c>
      <x:c r="B1" t="s">
        <x:v>790</x:v>
      </x:c>
      <x:c r="C1" t="s">
        <x:v>847</x:v>
      </x:c>
      <x:c r="D1" t="s">
        <x:v>855</x:v>
      </x:c>
      <x:c r="E1" t="s">
        <x:v>856</x:v>
      </x:c>
      <x:c r="F1" t="s">
        <x:v>857</x:v>
      </x:c>
      <x:c r="H1" t="s">
        <x:v>858</x:v>
      </x:c>
      <x:c r="I1" t="s">
        <x:v>859</x:v>
      </x:c>
    </x:row>
    <x:row r="2">
      <x:c r="A2" t="s">
        <x:v>860</x:v>
      </x:c>
      <x:c r="B2" t="s">
        <x:v>861</x:v>
      </x:c>
      <x:c r="C2" t="s">
        <x:v>862</x:v>
      </x:c>
      <x:c r="D2" t="s">
        <x:v>862</x:v>
      </x:c>
      <x:c r="E2" t="s">
        <x:v>862</x:v>
      </x:c>
      <x:c r="F2" t="s">
        <x:v>863</x:v>
      </x:c>
      <x:c r="H2" t="s">
        <x:v>861</x:v>
      </x:c>
      <x:c r="I2" t="s">
        <x:v>864</x:v>
      </x:c>
    </x:row>
    <x:row r="3">
      <x:c r="A3" t="s">
        <x:v>865</x:v>
      </x:c>
      <x:c r="B3" t="s">
        <x:v>861</x:v>
      </x:c>
      <x:c r="C3" t="s">
        <x:v>866</x:v>
      </x:c>
      <x:c r="D3" t="s">
        <x:v>862</x:v>
      </x:c>
      <x:c r="E3" t="s">
        <x:v>862</x:v>
      </x:c>
      <x:c r="F3" t="s">
        <x:v>863</x:v>
      </x:c>
      <x:c r="H3" t="s">
        <x:v>866</x:v>
      </x:c>
      <x:c r="I3" t="s">
        <x:v>867</x:v>
      </x:c>
    </x:row>
    <x:row r="4">
      <x:c r="A4" t="s">
        <x:v>868</x:v>
      </x:c>
      <x:c r="B4" t="s">
        <x:v>862</x:v>
      </x:c>
      <x:c r="C4" t="s">
        <x:v>869</x:v>
      </x:c>
      <x:c r="D4" t="s">
        <x:v>861</x:v>
      </x:c>
      <x:c r="E4" t="s">
        <x:v>862</x:v>
      </x:c>
      <x:c r="F4" t="s">
        <x:v>863</x:v>
      </x:c>
      <x:c r="H4" t="s">
        <x:v>862</x:v>
      </x:c>
      <x:c r="I4" t="s">
        <x:v>870</x:v>
      </x:c>
    </x:row>
    <x:row r="5">
      <x:c r="A5" t="s">
        <x:v>871</x:v>
      </x:c>
      <x:c r="B5" t="s">
        <x:v>861</x:v>
      </x:c>
      <x:c r="C5" t="s">
        <x:v>862</x:v>
      </x:c>
      <x:c r="D5" t="s">
        <x:v>862</x:v>
      </x:c>
      <x:c r="E5" t="s">
        <x:v>862</x:v>
      </x:c>
      <x:c r="F5" t="s">
        <x:v>863</x:v>
      </x:c>
      <x:c r="H5" t="s">
        <x:v>863</x:v>
      </x:c>
      <x:c r="I5" t="s">
        <x:v>872</x:v>
      </x:c>
    </x:row>
    <x:row r="6">
      <x:c r="A6" t="s">
        <x:v>873</x:v>
      </x:c>
      <x:c r="B6" t="s">
        <x:v>861</x:v>
      </x:c>
      <x:c r="C6" t="s">
        <x:v>862</x:v>
      </x:c>
      <x:c r="D6" t="s">
        <x:v>861</x:v>
      </x:c>
      <x:c r="E6" t="s">
        <x:v>862</x:v>
      </x:c>
      <x:c r="F6" t="s">
        <x:v>863</x:v>
      </x:c>
    </x:row>
    <x:row r="7">
      <x:c r="A7" t="s">
        <x:v>874</x:v>
      </x:c>
      <x:c r="B7" t="s">
        <x:v>861</x:v>
      </x:c>
      <x:c r="C7" t="s">
        <x:v>862</x:v>
      </x:c>
      <x:c r="D7" t="s">
        <x:v>862</x:v>
      </x:c>
      <x:c r="E7" t="s">
        <x:v>862</x:v>
      </x:c>
      <x:c r="F7" t="s">
        <x:v>863</x:v>
      </x:c>
    </x:row>
    <x:row r="8">
      <x:c r="A8" t="s">
        <x:v>875</x:v>
      </x:c>
      <x:c r="B8" t="s">
        <x:v>862</x:v>
      </x:c>
      <x:c r="C8" t="s">
        <x:v>861</x:v>
      </x:c>
      <x:c r="D8" t="s">
        <x:v>862</x:v>
      </x:c>
      <x:c r="E8" t="s">
        <x:v>862</x:v>
      </x:c>
      <x:c r="F8" t="s">
        <x:v>866</x:v>
      </x:c>
    </x:row>
    <x:row r="9">
      <x:c r="A9" t="s">
        <x:v>876</x:v>
      </x:c>
      <x:c r="B9" t="s">
        <x:v>861</x:v>
      </x:c>
      <x:c r="C9" t="s">
        <x:v>863</x:v>
      </x:c>
      <x:c r="D9" t="s">
        <x:v>863</x:v>
      </x:c>
      <x:c r="E9" t="s">
        <x:v>863</x:v>
      </x:c>
      <x:c r="F9" t="s">
        <x:v>866</x:v>
      </x:c>
    </x:row>
    <x:row r="10">
      <x:c r="A10" t="s">
        <x:v>877</x:v>
      </x:c>
      <x:c r="B10" t="s">
        <x:v>862</x:v>
      </x:c>
      <x:c r="C10" t="s">
        <x:v>869</x:v>
      </x:c>
      <x:c r="D10" t="s">
        <x:v>861</x:v>
      </x:c>
      <x:c r="E10" t="s">
        <x:v>863</x:v>
      </x:c>
      <x:c r="F10" t="s">
        <x:v>863</x:v>
      </x:c>
    </x:row>
  </x:sheetData>
  <x:pageMargins left="0.7" right="0.7" top="0.75" bottom="0.75" header="0.3" footer="0.3"/>
</x:worksheet>
</file>